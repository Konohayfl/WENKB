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4768e89c1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件封面" sheetId="1" r:id="R91a995105a9d4dea"/>
    <x:sheet xmlns:r="http://schemas.openxmlformats.org/officeDocument/2006/relationships" name="测试项目" sheetId="2" r:id="R9c08248263c645bf"/>
    <x:sheet xmlns:r="http://schemas.openxmlformats.org/officeDocument/2006/relationships" name="UI界面" sheetId="3" r:id="Rc866cfea6b9b4f05"/>
    <x:sheet xmlns:r="http://schemas.openxmlformats.org/officeDocument/2006/relationships" name="运行" sheetId="4" r:id="Re06a044b7ef6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5">
    <x:font>
      <x:sz val="11"/>
      <x:name val="Carlito"/>
    </x:font>
    <x:font>
      <x:sz val="10"/>
      <x:color rgb="FF1F2937"/>
      <x:name val="Microsoft YaHei"/>
    </x:font>
    <x:font>
      <x:b/>
      <x:sz val="16"/>
      <x:color rgb="FF17365D"/>
      <x:name val="Microsoft YaHei"/>
    </x:font>
    <x:font>
      <x:b/>
      <x:sz val="28"/>
      <x:color rgb="FF17365D"/>
      <x:name val="Microsoft YaHei"/>
    </x:font>
    <x:font>
      <x:sz val="11"/>
      <x:color rgb="FF1F2937"/>
      <x:name val="Microsoft YaHei"/>
    </x:font>
    <x:font>
      <x:b/>
      <x:sz val="10"/>
      <x:color rgb="FF17365D"/>
      <x:name val="Microsoft YaHei"/>
    </x:font>
    <x:font>
      <x:sz val="10"/>
      <x:color rgb="FF64748B"/>
      <x:name val="Microsoft YaHei"/>
    </x:font>
    <x:font>
      <x:sz val="11"/>
      <x:color rgb="FF64748B"/>
      <x:name val="Microsoft YaHei"/>
    </x:font>
    <x:font>
      <x:sz val="9"/>
      <x:color rgb="FF1F2937"/>
      <x:name val="Microsoft YaHei"/>
    </x:font>
    <x:font>
      <x:b/>
      <x:sz val="10"/>
      <x:color rgb="FFFFFFFF"/>
      <x:name val="Microsoft YaHei"/>
    </x:font>
    <x:font>
      <x:b/>
      <x:sz val="9"/>
      <x:color rgb="FF1F2937"/>
      <x:name val="Microsoft YaHei"/>
    </x:font>
    <x:font>
      <x:b/>
      <x:sz val="9"/>
      <x:color rgb="FF17365D"/>
      <x:name val="Microsoft YaHei"/>
    </x:font>
    <x:font>
      <x:b/>
      <x:sz val="11"/>
      <x:color rgb="FF1F2937"/>
      <x:name val="Microsoft YaHei"/>
    </x:font>
    <x:font>
      <x:b/>
      <x:sz val="10"/>
      <x:color rgb="FF1F2937"/>
      <x:name val="Microsoft YaHei"/>
    </x:font>
    <x:font>
      <x:sz val="9"/>
      <x:color rgb="FF64748B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  <x:border>
      <x:left style="thin">
        <x:color rgb="FFA6A6A6"/>
      </x:left>
      <x:right/>
      <x:top style="thin">
        <x:color rgb="FFA6A6A6"/>
      </x:top>
      <x:bottom/>
      <x:diagonal/>
    </x:border>
    <x:border>
      <x:left/>
      <x:right/>
      <x:top style="thin">
        <x:color rgb="FFA6A6A6"/>
      </x:top>
      <x:bottom/>
      <x:diagonal/>
    </x:border>
    <x:border>
      <x:left/>
      <x:right style="thin">
        <x:color rgb="FFA6A6A6"/>
      </x:right>
      <x:top style="thin">
        <x:color rgb="FFA6A6A6"/>
      </x:top>
      <x:bottom/>
      <x:diagonal/>
    </x:border>
    <x:border>
      <x:left style="thin">
        <x:color rgb="FFA6A6A6"/>
      </x:left>
      <x:right/>
      <x:top/>
      <x:bottom/>
      <x:diagonal/>
    </x:border>
    <x:border>
      <x:left/>
      <x:right style="thin">
        <x:color rgb="FFA6A6A6"/>
      </x:right>
      <x:top/>
      <x:bottom/>
      <x:diagonal/>
    </x:border>
    <x:border>
      <x:left style="thin">
        <x:color rgb="FFA6A6A6"/>
      </x:left>
      <x:right/>
      <x:top/>
      <x:bottom style="thin">
        <x:color rgb="FFA6A6A6"/>
      </x:bottom>
      <x:diagonal/>
    </x:border>
    <x:border>
      <x:left/>
      <x:right/>
      <x:top/>
      <x:bottom style="thin">
        <x:color rgb="FFA6A6A6"/>
      </x:bottom>
      <x:diagonal/>
    </x:border>
    <x:border>
      <x:left/>
      <x:right style="thin">
        <x:color rgb="FFA6A6A6"/>
      </x:right>
      <x:top/>
      <x:bottom style="thin">
        <x:color rgb="FFA6A6A6"/>
      </x:bottom>
      <x:diagonal/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200" fontId="8" fillId="0" borderId="1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201" fontId="12" fillId="2" borderId="1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vertical="center"/>
    </x:xf>
    <x:xf numFmtId="0" fontId="13" fillId="3" borderId="1" xfId="0" applyNumberFormat="1" applyFont="1" applyFill="1" applyBorder="1" applyAlignment="1">
      <x:alignment vertical="center"/>
    </x:xf>
    <x:xf numFmtId="0" fontId="13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 wrapText="1"/>
    </x:xf>
    <x:xf numFmtId="200" fontId="8" fillId="2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/>
    </x:xf>
    <x:xf numFmtId="0" fontId="14" fillId="6" borderId="2" xfId="0" applyNumberFormat="1" applyFont="1" applyFill="1" applyBorder="1" applyAlignment="1">
      <x:alignment vertical="center"/>
    </x:xf>
    <x:xf numFmtId="0" fontId="14" fillId="6" borderId="3" xfId="0" applyNumberFormat="1" applyFont="1" applyFill="1" applyBorder="1" applyAlignment="1">
      <x:alignment vertical="center"/>
    </x:xf>
    <x:xf numFmtId="0" fontId="14" fillId="6" borderId="4" xfId="0" applyNumberFormat="1" applyFont="1" applyFill="1" applyBorder="1" applyAlignment="1">
      <x:alignment vertical="center"/>
    </x:xf>
    <x:xf numFmtId="0" fontId="14" fillId="6" borderId="5" xfId="0" applyNumberFormat="1" applyFont="1" applyFill="1" applyBorder="1" applyAlignment="1">
      <x:alignment vertical="center"/>
    </x:xf>
    <x:xf numFmtId="0" fontId="14" fillId="6" borderId="6" xfId="0" applyNumberFormat="1" applyFont="1" applyFill="1" applyBorder="1" applyAlignment="1">
      <x:alignment vertical="center"/>
    </x:xf>
    <x:xf numFmtId="0" fontId="14" fillId="6" borderId="7" xfId="0" applyNumberFormat="1" applyFont="1" applyFill="1" applyBorder="1" applyAlignment="1">
      <x:alignment vertical="center"/>
    </x:xf>
    <x:xf numFmtId="0" fontId="14" fillId="6" borderId="8" xfId="0" applyNumberFormat="1" applyFont="1" applyFill="1" applyBorder="1" applyAlignment="1">
      <x:alignment vertical="center"/>
    </x:xf>
    <x:xf numFmtId="0" fontId="14" fillId="6" borderId="9" xfId="0" applyNumberFormat="1" applyFont="1" applyFill="1" applyBorder="1" applyAlignment="1">
      <x:alignment vertical="center"/>
    </x:xf>
    <x:xf numFmtId="0" fontId="14" fillId="6" borderId="2" xfId="0" applyNumberFormat="1" applyFont="1" applyFill="1" applyBorder="1" applyAlignment="1">
      <x:alignment horizontal="center" vertical="center"/>
    </x:xf>
    <x:xf numFmtId="0" fontId="14" fillId="6" borderId="3" xfId="0" applyNumberFormat="1" applyFont="1" applyFill="1" applyBorder="1" applyAlignment="1">
      <x:alignment horizontal="center" vertical="center"/>
    </x:xf>
    <x:xf numFmtId="0" fontId="14" fillId="6" borderId="4" xfId="0" applyNumberFormat="1" applyFont="1" applyFill="1" applyBorder="1" applyAlignment="1">
      <x:alignment horizontal="center" vertical="center"/>
    </x:xf>
    <x:xf numFmtId="0" fontId="14" fillId="6" borderId="5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 applyAlignment="1">
      <x:alignment horizontal="center" vertical="center"/>
    </x:xf>
    <x:xf numFmtId="0" fontId="14" fillId="6" borderId="6" xfId="0" applyNumberFormat="1" applyFont="1" applyFill="1" applyBorder="1" applyAlignment="1">
      <x:alignment horizontal="center" vertical="center"/>
    </x:xf>
    <x:xf numFmtId="0" fontId="14" fillId="6" borderId="7" xfId="0" applyNumberFormat="1" applyFont="1" applyFill="1" applyBorder="1" applyAlignment="1">
      <x:alignment horizontal="center" vertical="center"/>
    </x:xf>
    <x:xf numFmtId="0" fontId="14" fillId="6" borderId="8" xfId="0" applyNumberFormat="1" applyFont="1" applyFill="1" applyBorder="1" applyAlignment="1">
      <x:alignment horizontal="center" vertical="center"/>
    </x:xf>
    <x:xf numFmtId="0" fontId="14" fillId="6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2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e2e98c2f1422a" /><Relationship Type="http://schemas.openxmlformats.org/officeDocument/2006/relationships/theme" Target="/xl/theme/theme1.xml" Id="R1d2974ef2ad6444f" /><Relationship Type="http://schemas.openxmlformats.org/officeDocument/2006/relationships/sharedStrings" Target="/xl/sharedStrings.xml" Id="Rb83945b78317483f" /><Relationship Type="http://schemas.openxmlformats.org/officeDocument/2006/relationships/worksheet" Target="/xl/worksheets/sheet1.xml" Id="R91a995105a9d4dea" /><Relationship Type="http://schemas.openxmlformats.org/officeDocument/2006/relationships/worksheet" Target="/xl/worksheets/sheet2.xml" Id="R9c08248263c645bf" /><Relationship Type="http://schemas.openxmlformats.org/officeDocument/2006/relationships/worksheet" Target="/xl/worksheets/sheet3.xml" Id="Rc866cfea6b9b4f05" /><Relationship Type="http://schemas.openxmlformats.org/officeDocument/2006/relationships/worksheet" Target="/xl/worksheets/sheet4.xml" Id="Re06a044b7ef64a4e" /></Relationships>
</file>

<file path=xl/tables/table1.xml><?xml version="1.0" encoding="utf-8"?>
<x:table xmlns:x="http://schemas.openxmlformats.org/spreadsheetml/2006/main" id="1" name="WenkbTestCaseTable" displayName="WenkbTestCaseTable" ref="A4:M52" headerRowCount="1" totalsRowCount="0" totalsRowShown="0">
  <x:autoFilter ref="A4:M52"/>
  <x:tableColumns count="13">
    <x:tableColumn id="1" name="用例编号"/>
    <x:tableColumn id="2" name="需求/计划关联"/>
    <x:tableColumn id="3" name="测试项"/>
    <x:tableColumn id="4" name="优先级"/>
    <x:tableColumn id="5" name="前置条件"/>
    <x:tableColumn id="6" name="操作步骤"/>
    <x:tableColumn id="7" name="预期结果"/>
    <x:tableColumn id="8" name="实测结果"/>
    <x:tableColumn id="9" name="确定结果"/>
    <x:tableColumn id="10" name="测试日期"/>
    <x:tableColumn id="11" name="测试者"/>
    <x:tableColumn id="12" name="缺陷编号"/>
    <x:tableColumn id="13" name="证据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nkbUiMapTable" displayName="WenkbUiMapTable" ref="A4:G11" headerRowCount="1" totalsRowCount="0" totalsRowShown="0">
  <x:tableColumns count="7">
    <x:tableColumn id="1" name="编号"/>
    <x:tableColumn id="2" name="页面/流程"/>
    <x:tableColumn id="3" name="验证点"/>
    <x:tableColumn id="4" name="关联用例"/>
    <x:tableColumn id="5" name="预期验收结果"/>
    <x:tableColumn id="6" name="执行状态"/>
    <x:tableColumn id="7" name="证据/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nkbDefectTable" displayName="WenkbDefectTable" ref="A29:G34" headerRowCount="1" totalsRowCount="0" totalsRowShown="0">
  <x:tableColumns count="7">
    <x:tableColumn id="1" name="缺陷编号"/>
    <x:tableColumn id="2" name="关联用例"/>
    <x:tableColumn id="3" name="严重级别"/>
    <x:tableColumn id="4" name="问题描述"/>
    <x:tableColumn id="5" name="处理结论"/>
    <x:tableColumn id="6" name="责任人"/>
    <x:tableColumn id="7" name="关闭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64e0a640934c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606707296a45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61bff0f2e941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7" t="str">
        <x:v>文档编号：待编号</x:v>
      </x:c>
      <x:c r="B2" s="7"/>
      <x:c r="C2" s="7"/>
      <x:c r="D2" s="7"/>
      <x:c r="E2" s="7"/>
      <x:c r="F2" s="7"/>
      <x:c r="G2" s="7"/>
    </x:row>
    <x:row r="3">
      <x:c r="A3" s="7" t="str">
        <x:v>密级：待确认</x:v>
      </x:c>
      <x:c r="B3" s="7"/>
      <x:c r="C3" s="7"/>
      <x:c r="D3" s="7"/>
      <x:c r="E3" s="7"/>
      <x:c r="F3" s="7"/>
      <x:c r="G3" s="7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30" customHeight="1">
      <x:c r="A7" s="4" t="str">
        <x:v>第14小组 基于大模型的个人知识库系统</x:v>
      </x:c>
      <x:c r="B7" s="2"/>
      <x:c r="C7" s="2"/>
      <x:c r="D7" s="2"/>
      <x:c r="E7" s="2"/>
      <x:c r="F7" s="2"/>
      <x:c r="G7" s="2"/>
    </x:row>
    <x:row r="8">
      <x:c r="A8" s="2"/>
      <x:c r="B8" s="2"/>
      <x:c r="C8" s="2"/>
      <x:c r="D8" s="2"/>
      <x:c r="E8" s="2"/>
      <x:c r="F8" s="2"/>
      <x:c r="G8" s="2"/>
    </x:row>
    <x:row r="9">
      <x:c r="A9" s="2"/>
      <x:c r="B9" s="2"/>
      <x:c r="C9" s="2"/>
      <x:c r="D9" s="2"/>
      <x:c r="E9" s="2"/>
      <x:c r="F9" s="2"/>
      <x:c r="G9" s="2"/>
    </x:row>
    <x:row r="10">
      <x:c r="A10" s="6" t="str">
        <x:v>测试成绩书</x:v>
      </x:c>
      <x:c r="B10" s="2"/>
      <x:c r="C10" s="2"/>
      <x:c r="D10" s="2"/>
      <x:c r="E10" s="2"/>
      <x:c r="F10" s="2"/>
      <x:c r="G10" s="2"/>
    </x:row>
    <x:row r="11">
      <x:c r="A11" s="2"/>
      <x:c r="B11" s="2"/>
      <x:c r="C11" s="2"/>
      <x:c r="D11" s="2"/>
      <x:c r="E11" s="2"/>
      <x:c r="F11" s="2"/>
      <x:c r="G11" s="2"/>
    </x:row>
    <x:row r="12">
      <x:c r="A12" s="2"/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>
      <x:c r="A14" s="11" t="str">
        <x:v>文档状态</x:v>
      </x:c>
      <x:c r="B14" s="10" t="str">
        <x:v>执行记录已回填，截图待人工补充</x:v>
      </x:c>
      <x:c r="C14" s="2"/>
      <x:c r="D14" s="2"/>
      <x:c r="E14" s="2"/>
      <x:c r="F14" s="2"/>
      <x:c r="G14" s="2"/>
    </x:row>
    <x:row r="15">
      <x:c r="A15" s="11" t="str">
        <x:v>测试基线</x:v>
      </x:c>
      <x:c r="B15" s="10" t="str">
        <x:v>测试计划 v0.1</x:v>
      </x:c>
      <x:c r="C15" s="2"/>
      <x:c r="D15" s="2"/>
      <x:c r="E15" s="2"/>
      <x:c r="F15" s="2"/>
      <x:c r="G15" s="2"/>
    </x:row>
    <x:row r="16">
      <x:c r="A16" s="11" t="str">
        <x:v>项目范围</x:v>
      </x:c>
      <x:c r="B16" s="10" t="str">
        <x:v>模型、知识库、数据集、索引、增强、问答、搜索、文档集</x:v>
      </x:c>
      <x:c r="C16" s="2"/>
      <x:c r="D16" s="2"/>
      <x:c r="E16" s="2"/>
      <x:c r="F16" s="2"/>
      <x:c r="G16" s="2"/>
    </x:row>
    <x:row r="17">
      <x:c r="A17" s="11" t="str">
        <x:v>编制日期</x:v>
      </x:c>
      <x:c r="B17" s="12" t="d">
        <x:v>2026-10-20T00:00:00.000Z</x:v>
      </x:c>
      <x:c r="C17" s="2"/>
      <x:c r="D17" s="2"/>
      <x:c r="E17" s="2"/>
      <x:c r="F17" s="2"/>
      <x:c r="G17" s="2"/>
    </x:row>
    <x:row r="18">
      <x:c r="A18" s="11" t="str">
        <x:v>执行状态</x:v>
      </x:c>
      <x:c r="B18" s="10" t="str">
        <x:v>14 通过，8 失败，26 阻塞；截图待人工补充</x:v>
      </x:c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>
      <x:c r="A20" s="2"/>
      <x:c r="B20" s="2"/>
      <x:c r="C20" s="2"/>
      <x:c r="D20" s="2"/>
      <x:c r="E20" s="2"/>
      <x:c r="F20" s="2"/>
      <x:c r="G20" s="2"/>
    </x:row>
    <x:row r="21">
      <x:c r="A21" s="15" t="str">
        <x:v>编制说明</x:v>
      </x:c>
      <x:c r="B21" s="14"/>
      <x:c r="C21" s="14"/>
      <x:c r="D21" s="14"/>
      <x:c r="E21" s="14"/>
      <x:c r="F21" s="14"/>
      <x:c r="G21" s="14"/>
    </x:row>
    <x:row r="22" ht="42" customHeight="1">
      <x:c r="A22" s="14" t="str">
        <x:v>本成绩书依据需求分析、详细设计、接口设计、操作手册和测试计划整理。执行结果按实际记录；失败和阻塞项均保留现象、前置条件及缺陷编号。</x:v>
      </x:c>
      <x:c r="B22" s="14"/>
      <x:c r="C22" s="14"/>
      <x:c r="D22" s="14"/>
      <x:c r="E22" s="14"/>
      <x:c r="F22" s="14"/>
      <x:c r="G22" s="14"/>
    </x:row>
    <x:row r="23">
      <x:c r="A23" s="15" t="str">
        <x:v>工作表说明</x:v>
      </x:c>
      <x:c r="B23" s="14"/>
      <x:c r="C23" s="14"/>
      <x:c r="D23" s="14"/>
      <x:c r="E23" s="14"/>
      <x:c r="F23" s="14"/>
      <x:c r="G23" s="14"/>
    </x:row>
    <x:row r="24" ht="30" customHeight="1">
      <x:c r="A24" s="14" t="str">
        <x:v>测试项目：核心测试用例；UI界面：页面与流程验收映射；运行：执行汇总、缺陷记录和实际运行截图留白。</x:v>
      </x:c>
      <x:c r="B24" s="14"/>
      <x:c r="C24" s="14"/>
      <x:c r="D24" s="14"/>
      <x:c r="E24" s="14"/>
      <x:c r="F24" s="14"/>
      <x:c r="G24" s="14"/>
    </x:row>
    <x:row r="25" ht="30" customHeight="1">
      <x:c r="A25" s="14" t="str">
        <x:v>来源：docs/test_plan.md、docs/requirements_analysis.md、docs/detailed_design.md、docs/api_design.md、docs/wenkb_operation_guide.md</x:v>
      </x:c>
      <x:c r="B25" s="14"/>
      <x:c r="C25" s="14"/>
      <x:c r="D25" s="14"/>
      <x:c r="E25" s="14"/>
      <x:c r="F25" s="14"/>
      <x:c r="G25" s="14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16" t="str">
        <x:v>实习实训中心</x:v>
      </x:c>
      <x:c r="B33" s="16"/>
      <x:c r="C33" s="16"/>
      <x:c r="D33" s="16"/>
      <x:c r="E33" s="16"/>
      <x:c r="F33" s="16"/>
      <x:c r="G33" s="16"/>
    </x:row>
    <x:row r="34">
      <x:c r="A34" s="16" t="str">
        <x:v>（项目测试资料）</x:v>
      </x:c>
      <x:c r="B34" s="16"/>
      <x:c r="C34" s="16"/>
      <x:c r="D34" s="16"/>
      <x:c r="E34" s="16"/>
      <x:c r="F34" s="16"/>
      <x:c r="G34" s="16"/>
    </x:row>
    <x:row r="35">
      <x:c r="A35" s="20" t="str">
        <x:v>总页数</x:v>
      </x:c>
      <x:c r="B35" s="20"/>
      <x:c r="C35" s="20" t="str">
        <x:v>正文</x:v>
      </x:c>
      <x:c r="D35" s="20"/>
      <x:c r="E35" s="20" t="str">
        <x:v>附录</x:v>
      </x:c>
      <x:c r="F35" s="20"/>
      <x:c r="G35" s="20" t="str">
        <x:v>生效日期</x:v>
      </x:c>
    </x:row>
    <x:row r="36">
      <x:c r="A36" s="2"/>
      <x:c r="B36" s="2"/>
      <x:c r="C36" s="2"/>
      <x:c r="D36" s="2"/>
      <x:c r="E36" s="2"/>
      <x:c r="F36" s="2"/>
      <x:c r="G36" s="2"/>
    </x:row>
    <x:row r="37" ht="24" customHeight="1">
      <x:c r="A37" s="22" t="str">
        <x:v>编制：</x:v>
      </x:c>
      <x:c r="B37" s="22"/>
      <x:c r="C37" s="22"/>
      <x:c r="D37" s="22"/>
      <x:c r="E37" s="22" t="str">
        <x:v>审批：</x:v>
      </x:c>
      <x:c r="F37" s="22"/>
      <x:c r="G37" s="22"/>
    </x:row>
    <x:row r="38" ht="24" customHeight="1">
      <x:c r="A38" s="22" t="str">
        <x:v>交付前检查：</x:v>
      </x:c>
      <x:c r="B38" s="22" t="str">
        <x:v>完成全部执行记录、缺陷结论和回归验证后更新封面状态。</x:v>
      </x:c>
      <x:c r="C38" s="22"/>
      <x:c r="D38" s="22"/>
      <x:c r="E38" s="22"/>
      <x:c r="F38" s="22"/>
      <x:c r="G38" s="22"/>
    </x:row>
  </x:sheetData>
  <x:mergeCells>
    <x:mergeCell ref="A7:G8"/>
    <x:mergeCell ref="A10:G11"/>
    <x:mergeCell ref="A21:G21"/>
    <x:mergeCell ref="A22:G22"/>
    <x:mergeCell ref="A23:G23"/>
    <x:mergeCell ref="A24:G24"/>
    <x:mergeCell ref="A25:G25"/>
    <x:mergeCell ref="B38:D38"/>
    <x:mergeCell ref="F38:G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29" hidden="0" customWidth="1"/>
    <x:col min="3" max="3" width="28" hidden="0" customWidth="1"/>
    <x:col min="4" max="4" width="9" hidden="0" customWidth="1"/>
    <x:col min="5" max="5" width="34" hidden="0" customWidth="1"/>
    <x:col min="6" max="6" width="52" hidden="0" customWidth="1"/>
    <x:col min="7" max="7" width="42" hidden="0" customWidth="1"/>
    <x:col min="8" max="8" width="32" hidden="0" customWidth="1"/>
    <x:col min="9" max="9" width="11" hidden="0" customWidth="1"/>
    <x:col min="10" max="10" width="13" hidden="0" customWidth="1"/>
    <x:col min="11" max="11" width="12" hidden="0" customWidth="1"/>
    <x:col min="12" max="12" width="14" hidden="0" customWidth="1"/>
    <x:col min="13" max="13" width="31" hidden="0" customWidth="1"/>
  </x:cols>
  <x:sheetData>
    <x:row r="1" ht="30" customHeight="1">
      <x:c r="A1" s="4" t="str">
        <x:v>WenKB 核心功能测试项目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3" t="str">
        <x:v>执行状态预置为“未执行”。请在执行后填写实测结果、确定结果、日期、测试者、缺陷编号和证据。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8" t="str">
        <x:v>用例编号</x:v>
      </x:c>
      <x:c r="B4" s="28" t="str">
        <x:v>需求/计划关联</x:v>
      </x:c>
      <x:c r="C4" s="28" t="str">
        <x:v>测试项</x:v>
      </x:c>
      <x:c r="D4" s="28" t="str">
        <x:v>优先级</x:v>
      </x:c>
      <x:c r="E4" s="28" t="str">
        <x:v>前置条件</x:v>
      </x:c>
      <x:c r="F4" s="28" t="str">
        <x:v>操作步骤</x:v>
      </x:c>
      <x:c r="G4" s="28" t="str">
        <x:v>预期结果</x:v>
      </x:c>
      <x:c r="H4" s="28" t="str">
        <x:v>实测结果</x:v>
      </x:c>
      <x:c r="I4" s="28" t="str">
        <x:v>确定结果</x:v>
      </x:c>
      <x:c r="J4" s="28" t="str">
        <x:v>测试日期</x:v>
      </x:c>
      <x:c r="K4" s="28" t="str">
        <x:v>测试者</x:v>
      </x:c>
      <x:c r="L4" s="28" t="str">
        <x:v>缺陷编号</x:v>
      </x:c>
      <x:c r="M4" s="28" t="str">
        <x:v>证据/备注</x:v>
      </x:c>
    </x:row>
    <x:row r="5" ht="78" customHeight="1">
      <x:c r="A5" s="32" t="str">
        <x:v>TC-WKB-001</x:v>
      </x:c>
      <x:c r="B5" s="32" t="str">
        <x:v>TP-001 / NFR-001/NFR-003</x:v>
      </x:c>
      <x:c r="C5" s="32" t="str">
        <x:v>后端与数据库健康检查</x:v>
      </x:c>
      <x:c r="D5" s="37" t="str">
        <x:v>高</x:v>
      </x:c>
      <x:c r="E5" s="31" t="str">
        <x:v>Windows 本地环境已安装依赖；数据库服务或文件可访问。</x:v>
      </x:c>
      <x:c r="F5" s="31" t="str">
        <x:v>用例标题：后端与数据库健康检查
前置条件：Windows 本地环境已安装依赖；数据库服务或文件可访问。
操作步骤：1. 启动后端。
2. 请求 /health。
3. 分别在数据库可用和不可用条件下检查响应。</x:v>
      </x:c>
      <x:c r="G5" s="31" t="str">
        <x:v>正常条件返回明确健康状态；数据库不可用时返回可识别失败状态，不输出敏感配置。</x:v>
      </x:c>
      <x:c r="H5" s="32" t="str">
        <x:v>GET /health 返回 HTTP 200；success=true、status=ok、database=ok。</x:v>
      </x:c>
      <x:c r="I5" s="35" t="str">
        <x:v>通过</x:v>
      </x:c>
      <x:c r="J5" s="33" t="d">
        <x:v>2026-10-20T00:00:00.000Z</x:v>
      </x:c>
      <x:c r="K5" s="31" t="str">
        <x:v>自动化执行</x:v>
      </x:c>
      <x:c r="L5" s="31" t="str"/>
      <x:c r="M5" s="31" t="str">
        <x:v>记录 HTTP 状态、响应摘要和服务日志编号。
执行证据：隔离后端 HTTP 响应。</x:v>
      </x:c>
    </x:row>
    <x:row r="6" ht="78" customHeight="1">
      <x:c r="A6" s="32" t="str">
        <x:v>TC-WKB-002</x:v>
      </x:c>
      <x:c r="B6" s="32" t="str">
        <x:v>TP-001 / NFR-001</x:v>
      </x:c>
      <x:c r="C6" s="32" t="str">
        <x:v>前端入口与后端连接反馈</x:v>
      </x:c>
      <x:c r="D6" s="37" t="str">
        <x:v>高</x:v>
      </x:c>
      <x:c r="E6" s="31" t="str">
        <x:v>后端和前端均已启动；准备一次后端不可达场景。</x:v>
      </x:c>
      <x:c r="F6" s="31" t="str">
        <x:v>用例标题：前端入口与后端连接反馈
前置条件：后端和前端均已启动；准备一次后端不可达场景。
操作步骤：1. 打开浏览器端和桌面端入口。
2. 进入模型、知识库和聊天页面。
3. 停止后端并观察连接提示及恢复行为。</x:v>
      </x:c>
      <x:c r="G6" s="31" t="str">
        <x:v>服务可用时页面可进入；后端不可达时显示明确错误或重试状态，不把连接失败显示为正常。</x:v>
      </x:c>
      <x:c r="H6" s="32" t="str">
        <x:v>Vite 入口和 /api/health 代理返回 HTTP 200；浏览器实际交互、后端断开反馈及 Tauri 入口未核验。</x:v>
      </x:c>
      <x:c r="I6" s="35" t="str">
        <x:v>阻塞</x:v>
      </x:c>
      <x:c r="J6" s="33" t="d">
        <x:v>2026-10-20T00:00:00.000Z</x:v>
      </x:c>
      <x:c r="K6" s="31" t="str">
        <x:v>自动化执行</x:v>
      </x:c>
      <x:c r="L6" s="31" t="str"/>
      <x:c r="M6" s="31" t="str">
        <x:v>记录浏览器/桌面端入口及连接状态截图。
执行证据：Vite 开发服务器与 HTTP 响应；界面留待人工截图。</x:v>
      </x:c>
    </x:row>
    <x:row r="7" ht="78" customHeight="1">
      <x:c r="A7" s="32" t="str">
        <x:v>TC-WKB-003</x:v>
      </x:c>
      <x:c r="B7" s="32" t="str">
        <x:v>TP-001 / NFR-001/NFR-005</x:v>
      </x:c>
      <x:c r="C7" s="32" t="str">
        <x:v>数据库版本升级启动</x:v>
      </x:c>
      <x:c r="D7" s="37" t="str">
        <x:v>高</x:v>
      </x:c>
      <x:c r="E7" s="31" t="str">
        <x:v>准备上一受支持版本的可恢复数据库副本并记录关键数据数量。</x:v>
      </x:c>
      <x:c r="F7" s="31" t="str">
        <x:v>用例标题：数据库版本升级启动
前置条件：准备上一受支持版本的可恢复数据库副本并记录关键数据数量。
操作步骤：1. 从旧版本数据库副本启动服务。
2. 检查升级日志和数据库版本。
3. 重启一次并核对关键记录。</x:v>
      </x:c>
      <x:c r="G7" s="31" t="str">
        <x:v>迁移按版本顺序完成；版本号更新；重启不重复破坏数据；失败时保留可追踪错误。</x:v>
      </x:c>
      <x:c r="H7" s="32" t="str">
        <x:v>隔离数据库首次升至 schema v5；服务重启后仍为 v5，原测试数据保留。</x:v>
      </x:c>
      <x:c r="I7" s="35" t="str">
        <x:v>通过</x:v>
      </x:c>
      <x:c r="J7" s="33" t="d">
        <x:v>2026-10-20T00:00:00.000Z</x:v>
      </x:c>
      <x:c r="K7" s="31" t="str">
        <x:v>自动化执行</x:v>
      </x:c>
      <x:c r="L7" s="31" t="str"/>
      <x:c r="M7" s="31" t="str">
        <x:v>仅在副本执行，保存迁移日志及升级前后记录数量。
执行证据：隔离 SQLite schema version 前后查询及启动日志。</x:v>
      </x:c>
    </x:row>
    <x:row r="8" ht="78" customHeight="1">
      <x:c r="A8" s="32" t="str">
        <x:v>TC-WKB-004</x:v>
      </x:c>
      <x:c r="B8" s="32" t="str">
        <x:v>TP-001 / NFR-007</x:v>
      </x:c>
      <x:c r="C8" s="32" t="str">
        <x:v>Windows 中文路径文件读写</x:v>
      </x:c>
      <x:c r="D8" s="37" t="str">
        <x:v>中</x:v>
      </x:c>
      <x:c r="E8" s="31" t="str">
        <x:v>准备存放在含中文和空格路径下的可解析文档。</x:v>
      </x:c>
      <x:c r="F8" s="31" t="str">
        <x:v>用例标题：Windows 中文路径文件读写
前置条件：准备存放在含中文和空格路径下的可解析文档。
操作步骤：1. 将文档放在中文目录。
2. 上传并索引。
3. 检查文件名、路径、读取和检索结果。</x:v>
      </x:c>
      <x:c r="G8" s="31" t="str">
        <x:v>文件路径可读写；导入记录可追溯；中文文件名和目录名不导致服务异常。</x:v>
      </x:c>
      <x:c r="H8" s="32" t="str">
        <x:v>API 保留中文文件名；本次服务数据目录为 ASCII 路径，未验证中文目录读写及索引。</x:v>
      </x:c>
      <x:c r="I8" s="35" t="str">
        <x:v>阻塞</x:v>
      </x:c>
      <x:c r="J8" s="33" t="d">
        <x:v>2026-10-20T00:00:00.000Z</x:v>
      </x:c>
      <x:c r="K8" s="31" t="str">
        <x:v>自动化执行</x:v>
      </x:c>
      <x:c r="L8" s="31" t="str"/>
      <x:c r="M8" s="31" t="str">
        <x:v>记录测试文件名和数据集 ID，不复制敏感文件内容。
执行证据：中文文件名上传记录；中文路径样本未执行。</x:v>
      </x:c>
    </x:row>
    <x:row r="9" ht="78" customHeight="1">
      <x:c r="A9" s="32" t="str">
        <x:v>TC-WKB-005</x:v>
      </x:c>
      <x:c r="B9" s="32" t="str">
        <x:v>TP-002 / FR-001/FR-002</x:v>
      </x:c>
      <x:c r="C9" s="32" t="str">
        <x:v>供应商与模型清单维护</x:v>
      </x:c>
      <x:c r="D9" s="37" t="str">
        <x:v>高</x:v>
      </x:c>
      <x:c r="E9" s="31" t="str">
        <x:v>准备可用模型供应商及其支持的模型类型。</x:v>
      </x:c>
      <x:c r="F9" s="31" t="str">
        <x:v>用例标题：供应商与模型清单维护
前置条件：准备可用模型供应商及其支持的模型类型。
操作步骤：1. 查看内置供应商。
2. 新增一个用户模型并编辑名称/类型。
3. 重新读取列表。</x:v>
      </x:c>
      <x:c r="G9" s="31" t="str">
        <x:v>供应商和模型列表可查询；新增模型保存后可重新读取；聊天模型和 embedding 模型按类型区分。</x:v>
      </x:c>
      <x:c r="H9" s="32" t="str">
        <x:v>供应商清单可读；测试模型可新增、列表读取并删除。</x:v>
      </x:c>
      <x:c r="I9" s="35" t="str">
        <x:v>通过</x:v>
      </x:c>
      <x:c r="J9" s="33" t="d">
        <x:v>2026-10-20T00:00:00.000Z</x:v>
      </x:c>
      <x:c r="K9" s="31" t="str">
        <x:v>自动化执行</x:v>
      </x:c>
      <x:c r="L9" s="31" t="str"/>
      <x:c r="M9" s="31" t="str">
        <x:v>记录供应商、模型 ID 和模型类型。
执行证据：模型配置 API 请求与临时记录清理。</x:v>
      </x:c>
    </x:row>
    <x:row r="10" ht="78" customHeight="1">
      <x:c r="A10" s="32" t="str">
        <x:v>TC-WKB-006</x:v>
      </x:c>
      <x:c r="B10" s="32" t="str">
        <x:v>TP-002 / FR-001/NFR-004</x:v>
      </x:c>
      <x:c r="C10" s="32" t="str">
        <x:v>供应商参数保存与 API Key 脱敏</x:v>
      </x:c>
      <x:c r="D10" s="37" t="str">
        <x:v>高</x:v>
      </x:c>
      <x:c r="E10" s="31" t="str">
        <x:v>使用专用测试凭据，不得使用生产 API Key。</x:v>
      </x:c>
      <x:c r="F10" s="31" t="str">
        <x:v>用例标题：供应商参数保存与 API Key 脱敏
前置条件：使用专用测试凭据，不得使用生产 API Key。
操作步骤：1. 保存供应商服务地址和测试 API Key。
2. 重新查询参数。
3. 检查持久化加密标记和界面回显。</x:v>
      </x:c>
      <x:c r="G10" s="31" t="str">
        <x:v>参数保存成功；敏感值加密保存；查询或界面回显不暴露完整 API Key。</x:v>
      </x:c>
      <x:c r="H10" s="32" t="str">
        <x:v>使用虚构测试值验证加密保存和回读脱敏；未使用真实 API Key。</x:v>
      </x:c>
      <x:c r="I10" s="35" t="str">
        <x:v>通过</x:v>
      </x:c>
      <x:c r="J10" s="33" t="d">
        <x:v>2026-10-20T00:00:00.000Z</x:v>
      </x:c>
      <x:c r="K10" s="31" t="str">
        <x:v>自动化执行</x:v>
      </x:c>
      <x:c r="L10" s="31" t="str"/>
      <x:c r="M10" s="31" t="str">
        <x:v>记录脱敏格式和参数加密状态，不记录真实密钥。
执行证据：参数 API 回读掩码；测试值未保留在隔离库之外。</x:v>
      </x:c>
    </x:row>
    <x:row r="11" ht="78" customHeight="1">
      <x:c r="A11" s="32" t="str">
        <x:v>TC-WKB-007</x:v>
      </x:c>
      <x:c r="B11" s="32" t="str">
        <x:v>TP-002 / FR-003</x:v>
      </x:c>
      <x:c r="C11" s="32" t="str">
        <x:v>默认 LLM 选择与后续调用</x:v>
      </x:c>
      <x:c r="D11" s="37" t="str">
        <x:v>高</x:v>
      </x:c>
      <x:c r="E11" s="31" t="str">
        <x:v>至少配置两个可用聊天模型并准备可识别的测试提示。</x:v>
      </x:c>
      <x:c r="F11" s="31" t="str">
        <x:v>用例标题：默认 LLM 选择与后续调用
前置条件：至少配置两个可用聊天模型并准备可识别的测试提示。
操作步骤：1. 将模型 A 设为默认 LLM 并保存。
2. 发起问答或增强任务。
3. 切换为模型 B 后再次发起任务。</x:v>
      </x:c>
      <x:c r="G11" s="31" t="str">
        <x:v>保存的默认模型在后续问答/增强中生效；切换后使用新选择，模型调用结果可追踪。</x:v>
      </x:c>
      <x:c r="H11" s="32" t="str">
        <x:v>没有真实 LLM 服务或专用凭据，未能验证切换默认模型后由指定模型实际完成调用。</x:v>
      </x:c>
      <x:c r="I11" s="35" t="str">
        <x:v>阻塞</x:v>
      </x:c>
      <x:c r="J11" s="33" t="d">
        <x:v>2026-10-20T00:00:00.000Z</x:v>
      </x:c>
      <x:c r="K11" s="31" t="str">
        <x:v>自动化执行</x:v>
      </x:c>
      <x:c r="L11" s="31" t="str"/>
      <x:c r="M11" s="31" t="str">
        <x:v>用服务日志或可控模型响应确认实际调用模型。
执行证据：无模型服务；没有发起外部凭据调用。</x:v>
      </x:c>
    </x:row>
    <x:row r="12" ht="78" customHeight="1">
      <x:c r="A12" s="32" t="str">
        <x:v>TC-WKB-008</x:v>
      </x:c>
      <x:c r="B12" s="32" t="str">
        <x:v>TP-002 / FR-003/NFR-003</x:v>
      </x:c>
      <x:c r="C12" s="32" t="str">
        <x:v>缺省或不可用模型异常提示</x:v>
      </x:c>
      <x:c r="D12" s="37" t="str">
        <x:v>高</x:v>
      </x:c>
      <x:c r="E12" s="31" t="str">
        <x:v>准备未设置默认 LLM 和模型服务不可达两种配置。</x:v>
      </x:c>
      <x:c r="F12" s="31" t="str">
        <x:v>用例标题：缺省或不可用模型异常提示
前置条件：准备未设置默认 LLM 和模型服务不可达两种配置。
操作步骤：1. 未配置默认 LLM 时发起问答。
2. 配置无效服务地址后发起任务。
3. 检查页面提示和日志。</x:v>
      </x:c>
      <x:c r="G12" s="31" t="str">
        <x:v>系统明确提示模型未配置或不可用；失败上下文可追踪；API Key 等敏感值不进入错误信息。</x:v>
      </x:c>
      <x:c r="H12" s="32" t="str">
        <x:v>未配置模型时 SSE 返回明确设置提示和兜底文本且未泄漏凭据；助手兜底消息未写入历史消息，见 DEF-WKB-005。</x:v>
      </x:c>
      <x:c r="I12" s="35" t="str">
        <x:v>失败</x:v>
      </x:c>
      <x:c r="J12" s="33" t="d">
        <x:v>2026-10-20T00:00:00.000Z</x:v>
      </x:c>
      <x:c r="K12" s="31" t="str">
        <x:v>自动化执行</x:v>
      </x:c>
      <x:c r="L12" s="31" t="str">
        <x:v>DEF-WKB-005</x:v>
      </x:c>
      <x:c r="M12" s="31" t="str">
        <x:v>记录错误类型、用户提示和日志编号。
执行证据：隔离聊天 SSE 响应及消息列表 API。</x:v>
      </x:c>
    </x:row>
    <x:row r="13" ht="78" customHeight="1">
      <x:c r="A13" s="32" t="str">
        <x:v>TC-WKB-009</x:v>
      </x:c>
      <x:c r="B13" s="32" t="str">
        <x:v>TP-003 / FR-004</x:v>
      </x:c>
      <x:c r="C13" s="32" t="str">
        <x:v>知识库创建与私有默认值</x:v>
      </x:c>
      <x:c r="D13" s="37" t="str">
        <x:v>高</x:v>
      </x:c>
      <x:c r="E13" s="31" t="str">
        <x:v>已配置可用 embedding 模型；当前测试用户可创建知识库。</x:v>
      </x:c>
      <x:c r="F13" s="31" t="str">
        <x:v>用例标题：知识库创建与私有默认值
前置条件：已配置可用 embedding 模型；当前测试用户可创建知识库。
操作步骤：1. 填写知识库名称和介绍。
2. 选择 embedding 模型并保存。
3. 重新查询知识库及其可见性。</x:v>
      </x:c>
      <x:c r="G13" s="31" t="str">
        <x:v>知识库创建成功并绑定所选 embedding 模型；新建知识库默认私有；详情可重新读取。</x:v>
      </x:c>
      <x:c r="H13" s="32" t="str">
        <x:v>知识库创建成功；embedding 模型 ID 被保存，authRang 默认为 prvt，问答设置可重读。</x:v>
      </x:c>
      <x:c r="I13" s="35" t="str">
        <x:v>通过</x:v>
      </x:c>
      <x:c r="J13" s="33" t="d">
        <x:v>2026-10-20T00:00:00.000Z</x:v>
      </x:c>
      <x:c r="K13" s="31" t="str">
        <x:v>自动化执行</x:v>
      </x:c>
      <x:c r="L13" s="31" t="str"/>
      <x:c r="M13" s="31" t="str">
        <x:v>记录知识库 ID、模型 ID 和权限范围。
执行证据：隔离知识库及设置 API。</x:v>
      </x:c>
    </x:row>
    <x:row r="14" ht="78" customHeight="1">
      <x:c r="A14" s="32" t="str">
        <x:v>TC-WKB-010</x:v>
      </x:c>
      <x:c r="B14" s="32" t="str">
        <x:v>TP-003 / FR-004</x:v>
      </x:c>
      <x:c r="C14" s="32" t="str">
        <x:v>知识库必填项校验</x:v>
      </x:c>
      <x:c r="D14" s="37" t="str">
        <x:v>高</x:v>
      </x:c>
      <x:c r="E14" s="31" t="str">
        <x:v>使用专用测试环境。</x:v>
      </x:c>
      <x:c r="F14" s="31" t="str">
        <x:v>用例标题：知识库必填项校验
前置条件：使用专用测试环境。
操作步骤：1. 分别留空知识库名称和 embedding 模型。
2. 尝试保存。
3. 检查列表和数据库中是否产生无效记录。</x:v>
      </x:c>
      <x:c r="G14" s="31" t="str">
        <x:v>缺少必填项时拒绝创建并给出明确提示；不产生名称或索引模型缺失的知识库。</x:v>
      </x:c>
      <x:c r="H14" s="32" t="str">
        <x:v>缺少 embedding 模型会返回 HTTP 400；空知识库名称仍返回 HTTP 200 并创建记录，见 DEF-WKB-002。</x:v>
      </x:c>
      <x:c r="I14" s="35" t="str">
        <x:v>失败</x:v>
      </x:c>
      <x:c r="J14" s="33" t="d">
        <x:v>2026-10-20T00:00:00.000Z</x:v>
      </x:c>
      <x:c r="K14" s="31" t="str">
        <x:v>自动化执行</x:v>
      </x:c>
      <x:c r="L14" s="31" t="str">
        <x:v>DEF-WKB-002</x:v>
      </x:c>
      <x:c r="M14" s="31" t="str">
        <x:v>记录每种输入的提示和保存结果。
执行证据：隔离知识库创建 API；空名称记录留在临时数据库。</x:v>
      </x:c>
    </x:row>
    <x:row r="15" ht="78" customHeight="1">
      <x:c r="A15" s="32" t="str">
        <x:v>TC-WKB-011</x:v>
      </x:c>
      <x:c r="B15" s="32" t="str">
        <x:v>TP-003 / FR-005</x:v>
      </x:c>
      <x:c r="C15" s="32" t="str">
        <x:v>问答参数范围与持久化</x:v>
      </x:c>
      <x:c r="D15" s="37" t="str">
        <x:v>高</x:v>
      </x:c>
      <x:c r="E15" s="31" t="str">
        <x:v>已有测试知识库；可查询和修改其问答设置。</x:v>
      </x:c>
      <x:c r="F15" s="31" t="str">
        <x:v>用例标题：问答参数范围与持久化
前置条件：已有测试知识库；可查询和修改其问答设置。
操作步骤：1. 按数据库设计范围设置 topK、上下文数、历史轮数、温度和阈值边界。
2. 保存并重新读取。
3. 提交越界值。</x:v>
      </x:c>
      <x:c r="G15" s="31" t="str">
        <x:v>合法范围值可保存并在重新读取后保持一致；越界值被校验；后续问答使用已保存参数。</x:v>
      </x:c>
      <x:c r="H15" s="32" t="str">
        <x:v>maxCtx、maxHist、temperature、similarity 和 topK 可保存并重读；设计基线没有定义合法数值边界，本次未判边界校验。</x:v>
      </x:c>
      <x:c r="I15" s="35" t="str">
        <x:v>通过</x:v>
      </x:c>
      <x:c r="J15" s="33" t="d">
        <x:v>2026-10-20T00:00:00.000Z</x:v>
      </x:c>
      <x:c r="K15" s="31" t="str">
        <x:v>自动化执行</x:v>
      </x:c>
      <x:c r="L15" s="31" t="str"/>
      <x:c r="M15" s="31" t="str">
        <x:v>记录输入边界、保存值和请求侧验证结果。
执行证据：隔离知识库设置 API。</x:v>
      </x:c>
    </x:row>
    <x:row r="16" ht="78" customHeight="1">
      <x:c r="A16" s="32" t="str">
        <x:v>TC-WKB-012</x:v>
      </x:c>
      <x:c r="B16" s="32" t="str">
        <x:v>TP-003 / FR-004/FR-005</x:v>
      </x:c>
      <x:c r="C16" s="32" t="str">
        <x:v>已有索引时切换 embedding 模型</x:v>
      </x:c>
      <x:c r="D16" s="37" t="str">
        <x:v>高</x:v>
      </x:c>
      <x:c r="E16" s="31" t="str">
        <x:v>测试知识库至少有一个已建立的向量索引。</x:v>
      </x:c>
      <x:c r="F16" s="31" t="str">
        <x:v>用例标题：已有索引时切换 embedding 模型
前置条件：测试知识库至少有一个已建立的向量索引。
操作步骤：1. 修改该知识库绑定的 embedding 模型。
2. 检查提示或重建任务。
3. 按提示完成或取消操作并检查检索。</x:v>
      </x:c>
      <x:c r="G16" s="31" t="str">
        <x:v>模型不一致风险被提示；确认切换后触发或要求重建；取消时不破坏原有可检索索引。</x:v>
      </x:c>
      <x:c r="H16" s="32" t="str">
        <x:v>将隔离测试数据临时设为 ready 后切换 embedding 返回 HTTP 409，原模型 ID 未变；测试状态已还原。</x:v>
      </x:c>
      <x:c r="I16" s="35" t="str">
        <x:v>通过</x:v>
      </x:c>
      <x:c r="J16" s="33" t="d">
        <x:v>2026-10-20T00:00:00.000Z</x:v>
      </x:c>
      <x:c r="K16" s="31" t="str">
        <x:v>自动化执行</x:v>
      </x:c>
      <x:c r="L16" s="31" t="str"/>
      <x:c r="M16" s="31" t="str">
        <x:v>保存切换前后模型 ID、提示和索引状态。
执行证据：隔离数据库状态变更和知识库编辑 API。</x:v>
      </x:c>
    </x:row>
    <x:row r="17" ht="78" customHeight="1">
      <x:c r="A17" s="32" t="str">
        <x:v>TC-WKB-013</x:v>
      </x:c>
      <x:c r="B17" s="32" t="str">
        <x:v>TP-004 / FR-007</x:v>
      </x:c>
      <x:c r="C17" s="32" t="str">
        <x:v>常见文档格式导入</x:v>
      </x:c>
      <x:c r="D17" s="37" t="str">
        <x:v>高</x:v>
      </x:c>
      <x:c r="E17" s="31" t="str">
        <x:v>准备文本型 PDF、DOCX、MD、TXT、PPT/PPTX 各一份样本。</x:v>
      </x:c>
      <x:c r="F17" s="31" t="str">
        <x:v>用例标题：常见文档格式导入
前置条件：准备文本型 PDF、DOCX、MD、TXT、PPT/PPTX 各一份样本。
操作步骤：1. 分别导入各格式文件。
2. 检查数据集类型、文件名和上传状态。
3. 检查解析结果是否可供后续切分。</x:v>
      </x:c>
      <x:c r="G17" s="31" t="str">
        <x:v>需求范围内的常见格式建立正确数据集记录；不支持或无法解析的样本显示失败原因，不显示为 ready。</x:v>
      </x:c>
      <x:c r="H17" s="32" t="str">
        <x:v>PDF、DOCX、MD、TXT、PPTX 上传入口接受样本；由于没有 embedding 权重，未验证有效文件解析和索引。占位二进制不作为格式通过证据。</x:v>
      </x:c>
      <x:c r="I17" s="35" t="str">
        <x:v>阻塞</x:v>
      </x:c>
      <x:c r="J17" s="33" t="d">
        <x:v>2026-10-20T00:00:00.000Z</x:v>
      </x:c>
      <x:c r="K17" s="31" t="str">
        <x:v>自动化执行</x:v>
      </x:c>
      <x:c r="L17" s="31" t="str"/>
      <x:c r="M17" s="31" t="str">
        <x:v>记录样本格式、文件 ID 和数据集 ID。
执行证据：隔离上传 API；模型资源缺失。</x:v>
      </x:c>
    </x:row>
    <x:row r="18" ht="78" customHeight="1">
      <x:c r="A18" s="32" t="str">
        <x:v>TC-WKB-014</x:v>
      </x:c>
      <x:c r="B18" s="32" t="str">
        <x:v>TP-004 / FR-007/NFR-006</x:v>
      </x:c>
      <x:c r="C18" s="32" t="str">
        <x:v>批量导入与重复文件名</x:v>
      </x:c>
      <x:c r="D18" s="37" t="str">
        <x:v>中</x:v>
      </x:c>
      <x:c r="E18" s="31" t="str">
        <x:v>准备多份文件，其中两份文件名相同但内容不同，使用隔离测试库。</x:v>
      </x:c>
      <x:c r="F18" s="31" t="str">
        <x:v>用例标题：批量导入与重复文件名
前置条件：准备多份文件，其中两份文件名相同但内容不同，使用隔离测试库。
操作步骤：1. 批量上传多份文件。
2. 检查每份上传响应的 ID、名称、类型和大小。
3. 对相同文件名样本检查数据集关联。</x:v>
      </x:c>
      <x:c r="G18" s="31" t="str">
        <x:v>批量结果可逐项追踪；同名文件不会静默覆盖另一文件；失败项不会被汇总成成功状态。</x:v>
      </x:c>
      <x:c r="H18" s="32" t="str">
        <x:v>同名文件两次上传获得不同 dtsetId，并分别写入不同文件路径。</x:v>
      </x:c>
      <x:c r="I18" s="35" t="str">
        <x:v>通过</x:v>
      </x:c>
      <x:c r="J18" s="33" t="d">
        <x:v>2026-10-20T00:00:00.000Z</x:v>
      </x:c>
      <x:c r="K18" s="31" t="str">
        <x:v>自动化执行</x:v>
      </x:c>
      <x:c r="L18" s="31" t="str"/>
      <x:c r="M18" s="31" t="str">
        <x:v>保留上传响应摘要和同名样本的区分方式。
执行证据：隔离数据集列表与文件路径查询。</x:v>
      </x:c>
    </x:row>
    <x:row r="19" ht="78" customHeight="1">
      <x:c r="A19" s="32" t="str">
        <x:v>TC-WKB-015</x:v>
      </x:c>
      <x:c r="B19" s="32" t="str">
        <x:v>TP-004 / FR-008</x:v>
      </x:c>
      <x:c r="C19" s="32" t="str">
        <x:v>多 URL 格式校验与标题读取</x:v>
      </x:c>
      <x:c r="D19" s="37" t="str">
        <x:v>高</x:v>
      </x:c>
      <x:c r="E19" s="31" t="str">
        <x:v>准备多个有效静态网页 URL 和一个格式错误 URL。</x:v>
      </x:c>
      <x:c r="F19" s="31" t="str">
        <x:v>用例标题：多 URL 格式校验与标题读取
前置条件：准备多个有效静态网页 URL 和一个格式错误 URL。
操作步骤：1. 按每行一个 URL 输入多个链接。
2. 检查格式校验。
3. 获取网页标题并保存数据集。</x:v>
      </x:c>
      <x:c r="G19" s="31" t="str">
        <x:v>有效 URL 可保存并尽力获取标题；格式错误 URL 被识别；链接和数据集关系可重新查询。</x:v>
      </x:c>
      <x:c r="H19" s="32" t="str">
        <x:v>格式错误值 not-a-valid-url 被 HTTP 200 接受并保存为链接数据集，见 DEF-WKB-003。</x:v>
      </x:c>
      <x:c r="I19" s="35" t="str">
        <x:v>失败</x:v>
      </x:c>
      <x:c r="J19" s="33" t="d">
        <x:v>2026-10-20T00:00:00.000Z</x:v>
      </x:c>
      <x:c r="K19" s="31" t="str">
        <x:v>自动化执行</x:v>
      </x:c>
      <x:c r="L19" s="31" t="str">
        <x:v>DEF-WKB-003</x:v>
      </x:c>
      <x:c r="M19" s="31" t="str">
        <x:v>记录 URL 测试编号、标题和数据集 ID，不记录需授权访问的私有链接。
执行证据：隔离链接导入 API。</x:v>
      </x:c>
    </x:row>
    <x:row r="20" ht="78" customHeight="1">
      <x:c r="A20" s="32" t="str">
        <x:v>TC-WKB-016</x:v>
      </x:c>
      <x:c r="B20" s="32" t="str">
        <x:v>TP-004 / FR-007/FR-008/NFR-003</x:v>
      </x:c>
      <x:c r="C20" s="32" t="str">
        <x:v>不可访问链接与不可解析文件</x:v>
      </x:c>
      <x:c r="D20" s="37" t="str">
        <x:v>高</x:v>
      </x:c>
      <x:c r="E20" s="31" t="str">
        <x:v>准备不可访问 URL、空文件和损坏文档，使用隔离测试库。</x:v>
      </x:c>
      <x:c r="F20" s="31" t="str">
        <x:v>用例标题：不可访问链接与不可解析文件
前置条件：准备不可访问 URL、空文件和损坏文档，使用隔离测试库。
操作步骤：1. 导入上述异常样本。
2. 查看数据集状态和索引错误信息。
3. 检查其他正常数据集仍可使用。</x:v>
      </x:c>
      <x:c r="G20" s="31" t="str">
        <x:v>异常样本失败原因可查询且不会变为 ready；单个异常不导致服务整体退出或阻断其他数据集。</x:v>
      </x:c>
      <x:c r="H20" s="32" t="str">
        <x:v>损坏文件和不可访问链接未进入可判断的解析/索引流程；无法验证失败状态及其他正常数据集隔离。</x:v>
      </x:c>
      <x:c r="I20" s="35" t="str">
        <x:v>阻塞</x:v>
      </x:c>
      <x:c r="J20" s="33" t="d">
        <x:v>2026-10-20T00:00:00.000Z</x:v>
      </x:c>
      <x:c r="K20" s="31" t="str">
        <x:v>自动化执行</x:v>
      </x:c>
      <x:c r="L20" s="31" t="str"/>
      <x:c r="M20" s="31" t="str">
        <x:v>保存错误类型、提示和日志编号。
执行证据：隔离环境无可用 embedding，未判解析结果。</x:v>
      </x:c>
    </x:row>
    <x:row r="21" ht="78" customHeight="1">
      <x:c r="A21" s="32" t="str">
        <x:v>TC-WKB-017</x:v>
      </x:c>
      <x:c r="B21" s="32" t="str">
        <x:v>TP-005 / FR-009</x:v>
      </x:c>
      <x:c r="C21" s="32" t="str">
        <x:v>仅启用数据集进入索引队列</x:v>
      </x:c>
      <x:c r="D21" s="37" t="str">
        <x:v>高</x:v>
      </x:c>
      <x:c r="E21" s="31" t="str">
        <x:v>准备两个新导入数据集，一个启用、一个停用。</x:v>
      </x:c>
      <x:c r="F21" s="31" t="str">
        <x:v>用例标题：仅启用数据集进入索引队列
前置条件：准备两个新导入数据集，一个启用、一个停用。
操作步骤：1. 保持两个数据集初始状态并观察队列。
2. 确认停用数据集不进入索引。
3. 启用后观察其状态和队列。</x:v>
      </x:c>
      <x:c r="G21" s="31" t="str">
        <x:v>只有启用的数据集进入索引队列；停用数据集不被后台任务提前索引；启用后可继续处理。</x:v>
      </x:c>
      <x:c r="H21" s="32" t="str">
        <x:v>停用数据集保持 new/une；启用的数据集进入索引队列并转为 error，证明停用项未入队。因本地 m3e 权重缺失未到 ready。</x:v>
      </x:c>
      <x:c r="I21" s="35" t="str">
        <x:v>通过</x:v>
      </x:c>
      <x:c r="J21" s="33" t="d">
        <x:v>2026-10-20T00:00:00.000Z</x:v>
      </x:c>
      <x:c r="K21" s="31" t="str">
        <x:v>自动化执行</x:v>
      </x:c>
      <x:c r="L21" s="31" t="str"/>
      <x:c r="M21" s="31" t="str">
        <x:v>记录启用标志、状态和队列日志。
执行证据：隔离数据库的启用数据集状态及队列错误记录。</x:v>
      </x:c>
    </x:row>
    <x:row r="22" ht="78" customHeight="1">
      <x:c r="A22" s="32" t="str">
        <x:v>TC-WKB-018</x:v>
      </x:c>
      <x:c r="B22" s="32" t="str">
        <x:v>TP-005 / FR-009/NFR-002</x:v>
      </x:c>
      <x:c r="C22" s="32" t="str">
        <x:v>索引状态流转与界面响应</x:v>
      </x:c>
      <x:c r="D22" s="37" t="str">
        <x:v>高</x:v>
      </x:c>
      <x:c r="E22" s="31" t="str">
        <x:v>准备内容较多但可解析的文档并启用数据集。</x:v>
      </x:c>
      <x:c r="F22" s="31" t="str">
        <x:v>用例标题：索引状态流转与界面响应
前置条件：准备内容较多但可解析的文档并启用数据集。
操作步骤：1. 观察 new、order、index、ready 状态。
2. 索引运行期间继续操作其他页面。
3. 查看完成时间和界面状态刷新。</x:v>
      </x:c>
      <x:c r="G22" s="31" t="str">
        <x:v>索引状态可追踪；后台处理不阻塞主要界面操作；完成后数据集进入 ready。</x:v>
      </x:c>
      <x:c r="H22" s="32" t="str">
        <x:v>已观察启用数据集从 new 进入处理并因 embedding 不可用失败；未验证完整状态流转到 ready 或索引期间界面响应。</x:v>
      </x:c>
      <x:c r="I22" s="35" t="str">
        <x:v>阻塞</x:v>
      </x:c>
      <x:c r="J22" s="33" t="d">
        <x:v>2026-10-20T00:00:00.000Z</x:v>
      </x:c>
      <x:c r="K22" s="31" t="str">
        <x:v>自动化执行</x:v>
      </x:c>
      <x:c r="L22" s="31" t="str"/>
      <x:c r="M22" s="31" t="str">
        <x:v>记录状态时间线和页面响应现象，不预设性能数值。
执行证据：异步队列状态；缺少本地 embedding 权重。</x:v>
      </x:c>
    </x:row>
    <x:row r="23" ht="78" customHeight="1">
      <x:c r="A23" s="32" t="str">
        <x:v>TC-WKB-019</x:v>
      </x:c>
      <x:c r="B23" s="32" t="str">
        <x:v>TP-005 / FR-009/FR-015</x:v>
      </x:c>
      <x:c r="C23" s="32" t="str">
        <x:v>成功索引后参与检索</x:v>
      </x:c>
      <x:c r="D23" s="37" t="str">
        <x:v>高</x:v>
      </x:c>
      <x:c r="E23" s="31" t="str">
        <x:v>准备含唯一可识别短句的文本型文件并成功索引。</x:v>
      </x:c>
      <x:c r="F23" s="31" t="str">
        <x:v>用例标题：成功索引后参与检索
前置条件：准备含唯一可识别短句的文本型文件并成功索引。
操作步骤：1. 确认数据集 ready。
2. 用文件中的唯一短句执行搜索。
3. 从聊天问题中验证相关片段可被检索。</x:v>
      </x:c>
      <x:c r="G23" s="31" t="str">
        <x:v>已索引内容可参与搜索/问答；结果来源指向正确数据集和文件。</x:v>
      </x:c>
      <x:c r="H23" s="32" t="str">
        <x:v>缺少本地 embedding 权重，无法生成 ready 向量并验证搜索/问答召回及来源。</x:v>
      </x:c>
      <x:c r="I23" s="35" t="str">
        <x:v>阻塞</x:v>
      </x:c>
      <x:c r="J23" s="33" t="d">
        <x:v>2026-10-20T00:00:00.000Z</x:v>
      </x:c>
      <x:c r="K23" s="31" t="str">
        <x:v>自动化执行</x:v>
      </x:c>
      <x:c r="L23" s="31" t="str"/>
      <x:c r="M23" s="31" t="str">
        <x:v>记录查询、命中片段和来源对象 ID。
执行证据：向量索引前置条件未满足。</x:v>
      </x:c>
    </x:row>
    <x:row r="24" ht="78" customHeight="1">
      <x:c r="A24" s="32" t="str">
        <x:v>TC-WKB-020</x:v>
      </x:c>
      <x:c r="B24" s="32" t="str">
        <x:v>TP-005 / FR-009/NFR-003</x:v>
      </x:c>
      <x:c r="C24" s="32" t="str">
        <x:v>索引失败记录与恢复重试</x:v>
      </x:c>
      <x:c r="D24" s="37" t="str">
        <x:v>高</x:v>
      </x:c>
      <x:c r="E24" s="31" t="str">
        <x:v>准备一个可控失败样本及修复后的正常版本。</x:v>
      </x:c>
      <x:c r="F24" s="31" t="str">
        <x:v>用例标题：索引失败记录与恢复重试
前置条件：准备一个可控失败样本及修复后的正常版本。
操作步骤：1. 触发索引失败。
2. 查看失败状态和错误上下文。
3. 修复输入后重试。
4. 检查 ready 状态和错误解决记录。</x:v>
      </x:c>
      <x:c r="G24" s="31" t="str">
        <x:v>失败原因可查询；重试后状态可恢复；成功后旧有效错误被标记解决或清理。</x:v>
      </x:c>
      <x:c r="H24" s="32" t="str">
        <x:v>索引失败由缺失 embedding 权重触发；无法修复模型前置条件后重试并验证错误清理。</x:v>
      </x:c>
      <x:c r="I24" s="35" t="str">
        <x:v>阻塞</x:v>
      </x:c>
      <x:c r="J24" s="33" t="d">
        <x:v>2026-10-20T00:00:00.000Z</x:v>
      </x:c>
      <x:c r="K24" s="31" t="str">
        <x:v>自动化执行</x:v>
      </x:c>
      <x:c r="L24" s="31" t="str"/>
      <x:c r="M24" s="31" t="str">
        <x:v>保留失败和恢复两个阶段的错误编号。
执行证据：索引状态和错误记录；无可用模型资源。</x:v>
      </x:c>
    </x:row>
    <x:row r="25" ht="78" customHeight="1">
      <x:c r="A25" s="32" t="str">
        <x:v>TC-WKB-021</x:v>
      </x:c>
      <x:c r="B25" s="32" t="str">
        <x:v>TP-006 / FR-011</x:v>
      </x:c>
      <x:c r="C25" s="32" t="str">
        <x:v>摘要生成及状态跟踪</x:v>
      </x:c>
      <x:c r="D25" s="37" t="str">
        <x:v>中</x:v>
      </x:c>
      <x:c r="E25" s="31" t="str">
        <x:v>数据集主索引已 ready；默认 LLM 可用。</x:v>
      </x:c>
      <x:c r="F25" s="31" t="str">
        <x:v>用例标题：摘要生成及状态跟踪
前置条件：数据集主索引已 ready；默认 LLM 可用。
操作步骤：1. 触发摘要生成。
2. 观察摘要状态。
3. 查看生成摘要内容和所属数据集。</x:v>
      </x:c>
      <x:c r="G25" s="31" t="str">
        <x:v>摘要任务按状态推进；生成内容可查询；来源数据集关联正确；失败时保留原因。</x:v>
      </x:c>
      <x:c r="H25" s="32" t="str">
        <x:v>自动摘要生成需要 ready 向量索引和 LLM 服务；本机未配置 LLM。</x:v>
      </x:c>
      <x:c r="I25" s="35" t="str">
        <x:v>阻塞</x:v>
      </x:c>
      <x:c r="J25" s="33" t="d">
        <x:v>2026-10-20T00:00:00.000Z</x:v>
      </x:c>
      <x:c r="K25" s="31" t="str">
        <x:v>自动化执行</x:v>
      </x:c>
      <x:c r="L25" s="31" t="str"/>
      <x:c r="M25" s="31" t="str">
        <x:v>记录摘要 ID、状态和模型错误（如有）。
执行证据：模型/索引前置条件未满足。</x:v>
      </x:c>
    </x:row>
    <x:row r="26" ht="78" customHeight="1">
      <x:c r="A26" s="32" t="str">
        <x:v>TC-WKB-022</x:v>
      </x:c>
      <x:c r="B26" s="32" t="str">
        <x:v>TP-006 / FR-011/NFR-003</x:v>
      </x:c>
      <x:c r="C26" s="32" t="str">
        <x:v>人工摘要增删改与向量同步</x:v>
      </x:c>
      <x:c r="D26" s="37" t="str">
        <x:v>中</x:v>
      </x:c>
      <x:c r="E26" s="31" t="str">
        <x:v>已有可用数据集；准备一条非敏感摘要文本。</x:v>
      </x:c>
      <x:c r="F26" s="31" t="str">
        <x:v>用例标题：人工摘要增删改与向量同步
前置条件：已有可用数据集；准备一条非敏感摘要文本。
操作步骤：1. 新增人工摘要。
2. 修改其内容。
3. 搜索新旧摘要词句。
4. 删除摘要并再次搜索。</x:v>
      </x:c>
      <x:c r="G26" s="31" t="str">
        <x:v>摘要来源标记为人工；修改后检索使用新内容；删除后关系记录和对应向量均不再返回。</x:v>
      </x:c>
      <x:c r="H26" s="32" t="str">
        <x:v>人工摘要向量新增、修改和删除同步依赖可用向量模型；当前没有可加载 embedding 权重。</x:v>
      </x:c>
      <x:c r="I26" s="35" t="str">
        <x:v>阻塞</x:v>
      </x:c>
      <x:c r="J26" s="33" t="d">
        <x:v>2026-10-20T00:00:00.000Z</x:v>
      </x:c>
      <x:c r="K26" s="31" t="str">
        <x:v>自动化执行</x:v>
      </x:c>
      <x:c r="L26" s="31" t="str"/>
      <x:c r="M26" s="31" t="str">
        <x:v>记录摘要 ID 和更新/删除后的搜索结果。
执行证据：模型/向量前置条件未满足。</x:v>
      </x:c>
    </x:row>
    <x:row r="27" ht="78" customHeight="1">
      <x:c r="A27" s="32" t="str">
        <x:v>TC-WKB-023</x:v>
      </x:c>
      <x:c r="B27" s="32" t="str">
        <x:v>TP-006 / FR-012</x:v>
      </x:c>
      <x:c r="C27" s="32" t="str">
        <x:v>自动与人工 Q&amp;A 维护</x:v>
      </x:c>
      <x:c r="D27" s="37" t="str">
        <x:v>高</x:v>
      </x:c>
      <x:c r="E27" s="31" t="str">
        <x:v>数据集主索引已 ready；默认 LLM 可用。</x:v>
      </x:c>
      <x:c r="F27" s="31" t="str">
        <x:v>用例标题：自动与人工 Q&amp;A 维护
前置条件：数据集主索引已 ready；默认 LLM 可用。
操作步骤：1. 生成自动 Q&amp;A。
2. 手工新增一组 Q&amp;A。
3. 检查来源标记、列表和候选问题。
4. 修改或删除一条记录。</x:v>
      </x:c>
      <x:c r="G27" s="31" t="str">
        <x:v>自动和人工来源可区分；Q&amp;A 可查询维护；候选问题与检索使用最新有效内容。</x:v>
      </x:c>
      <x:c r="H27" s="32" t="str">
        <x:v>自动 Q&amp;A 生成依赖 LLM，人工维护后的向量同步依赖 embedding；相关服务未配置。</x:v>
      </x:c>
      <x:c r="I27" s="35" t="str">
        <x:v>阻塞</x:v>
      </x:c>
      <x:c r="J27" s="33" t="d">
        <x:v>2026-10-20T00:00:00.000Z</x:v>
      </x:c>
      <x:c r="K27" s="31" t="str">
        <x:v>自动化执行</x:v>
      </x:c>
      <x:c r="L27" s="31" t="str"/>
      <x:c r="M27" s="31" t="str">
        <x:v>记录 Q&amp;A ID、来源类型和候选列表结果。
执行证据：LLM 与 embedding 前置条件未满足。</x:v>
      </x:c>
    </x:row>
    <x:row r="28" ht="78" customHeight="1">
      <x:c r="A28" s="32" t="str">
        <x:v>TC-WKB-024</x:v>
      </x:c>
      <x:c r="B28" s="32" t="str">
        <x:v>TP-006 / FR-013</x:v>
      </x:c>
      <x:c r="C28" s="32" t="str">
        <x:v>三元组抽取、去重与检索同步</x:v>
      </x:c>
      <x:c r="D28" s="37" t="str">
        <x:v>中</x:v>
      </x:c>
      <x:c r="E28" s="31" t="str">
        <x:v>数据集主索引已 ready；准备包含明确实体关系的文本。</x:v>
      </x:c>
      <x:c r="F28" s="31" t="str">
        <x:v>用例标题：三元组抽取、去重与检索同步
前置条件：数据集主索引已 ready；准备包含明确实体关系的文本。
操作步骤：1. 触发三元组抽取。
2. 核对主体、关系、客体。
3. 重复提交同一关系并执行编辑、删除。
4. 检查检索同步。</x:v>
      </x:c>
      <x:c r="G28" s="31" t="str">
        <x:v>三元组字段完整且按规则去重；修改和删除后关系数据与向量索引一致。</x:v>
      </x:c>
      <x:c r="H28" s="32" t="str">
        <x:v>三元组抽取依赖 LLM；编辑和删除后的向量同步还依赖 embedding，均无法完成。</x:v>
      </x:c>
      <x:c r="I28" s="35" t="str">
        <x:v>阻塞</x:v>
      </x:c>
      <x:c r="J28" s="33" t="d">
        <x:v>2026-10-20T00:00:00.000Z</x:v>
      </x:c>
      <x:c r="K28" s="31" t="str">
        <x:v>自动化执行</x:v>
      </x:c>
      <x:c r="L28" s="31" t="str"/>
      <x:c r="M28" s="31" t="str">
        <x:v>记录三元组 ID、三字段和检索结果。
执行证据：LLM 与 embedding 前置条件未满足。</x:v>
      </x:c>
    </x:row>
    <x:row r="29" ht="78" customHeight="1">
      <x:c r="A29" s="32" t="str">
        <x:v>TC-WKB-025</x:v>
      </x:c>
      <x:c r="B29" s="32" t="str">
        <x:v>TP-007 / FR-014</x:v>
      </x:c>
      <x:c r="C29" s="32" t="str">
        <x:v>知识库选择与对话持久化</x:v>
      </x:c>
      <x:c r="D29" s="37" t="str">
        <x:v>高</x:v>
      </x:c>
      <x:c r="E29" s="31" t="str">
        <x:v>已有两个 ready 知识库；已配置可用默认 LLM。</x:v>
      </x:c>
      <x:c r="F29" s="31" t="str">
        <x:v>用例标题：知识库选择与对话持久化
前置条件：已有两个 ready 知识库；已配置可用默认 LLM。
操作步骤：1. 选择知识库 A 并新建对话。
2. 发送一个问题。
3. 切换到知识库 B 并创建另一对话。
4. 刷新页面后读取对话列表。</x:v>
      </x:c>
      <x:c r="G29" s="31" t="str">
        <x:v>每个对话绑定正确知识库；消息和对话可重新读取；切换知识库不串用其他库的资料。</x:v>
      </x:c>
      <x:c r="H29" s="32" t="str">
        <x:v>已验证对话记录可创建；两套 ready 知识库及成功模型问答前置条件不具备。</x:v>
      </x:c>
      <x:c r="I29" s="35" t="str">
        <x:v>阻塞</x:v>
      </x:c>
      <x:c r="J29" s="33" t="d">
        <x:v>2026-10-20T00:00:00.000Z</x:v>
      </x:c>
      <x:c r="K29" s="31" t="str">
        <x:v>自动化执行</x:v>
      </x:c>
      <x:c r="L29" s="31" t="str"/>
      <x:c r="M29" s="31" t="str">
        <x:v>记录知识库 ID、对话 ID 和消息 ID。
执行证据：隔离数据库无 ready 向量索引和 LLM。</x:v>
      </x:c>
    </x:row>
    <x:row r="30" ht="78" customHeight="1">
      <x:c r="A30" s="32" t="str">
        <x:v>TC-WKB-026</x:v>
      </x:c>
      <x:c r="B30" s="32" t="str">
        <x:v>TP-007 / FR-014/NFR-002</x:v>
      </x:c>
      <x:c r="C30" s="32" t="str">
        <x:v>流式回答与生成中断回退</x:v>
      </x:c>
      <x:c r="D30" s="37" t="str">
        <x:v>高</x:v>
      </x:c>
      <x:c r="E30" s="31" t="str">
        <x:v>准备正常模型和可控中断模型响应。</x:v>
      </x:c>
      <x:c r="F30" s="31" t="str">
        <x:v>用例标题：流式回答与生成中断回退
前置条件：准备正常模型和可控中断模型响应。
操作步骤：1. 提交问题并观察增量事件。
2. 中断一次生成。
3. 重新读取消息记录和前端最终内容。</x:v>
      </x:c>
      <x:c r="G30" s="31" t="str">
        <x:v>正常回答流式返回；中断后显示兜底消息或明确错误；最终内容与消息记录一致。</x:v>
      </x:c>
      <x:c r="H30" s="32" t="str">
        <x:v>未配置可控模型，无法验证正常流式响应及生成中断过程。</x:v>
      </x:c>
      <x:c r="I30" s="35" t="str">
        <x:v>阻塞</x:v>
      </x:c>
      <x:c r="J30" s="33" t="d">
        <x:v>2026-10-20T00:00:00.000Z</x:v>
      </x:c>
      <x:c r="K30" s="31" t="str">
        <x:v>自动化执行</x:v>
      </x:c>
      <x:c r="L30" s="31" t="str"/>
      <x:c r="M30" s="31" t="str">
        <x:v>记录流式事件顺序、消息最终状态和日志编号。
执行证据：没有可用或可控 LLM 服务。</x:v>
      </x:c>
    </x:row>
    <x:row r="31" ht="78" customHeight="1">
      <x:c r="A31" s="32" t="str">
        <x:v>TC-WKB-027</x:v>
      </x:c>
      <x:c r="B31" s="32" t="str">
        <x:v>TP-007 / FR-005/FR-014</x:v>
      </x:c>
      <x:c r="C31" s="32" t="str">
        <x:v>多轮历史及上下文参数</x:v>
      </x:c>
      <x:c r="D31" s="37" t="str">
        <x:v>高</x:v>
      </x:c>
      <x:c r="E31" s="31" t="str">
        <x:v>知识库已设置 maxHistory、maxCtx 和检索参数；准备可区分的多轮问题。</x:v>
      </x:c>
      <x:c r="F31" s="31" t="str">
        <x:v>用例标题：多轮历史及上下文参数
前置条件：知识库已设置 maxHistory、maxCtx 和检索参数；准备可区分的多轮问题。
操作步骤：1. 创建多轮对话并提及一个唯一值。
2. 后续问题引用该值。
3. 调整历史轮数和上下文片段数后重复验证。</x:v>
      </x:c>
      <x:c r="G31" s="31" t="str">
        <x:v>上下文按知识库设置生效；历史消息不被设置修改追溯性改写；参数变化影响后续请求。</x:v>
      </x:c>
      <x:c r="H31" s="32" t="str">
        <x:v>多轮历史与上下文差异需要可观察的 LLM 调用；当前没有模型服务。</x:v>
      </x:c>
      <x:c r="I31" s="35" t="str">
        <x:v>阻塞</x:v>
      </x:c>
      <x:c r="J31" s="33" t="d">
        <x:v>2026-10-20T00:00:00.000Z</x:v>
      </x:c>
      <x:c r="K31" s="31" t="str">
        <x:v>自动化执行</x:v>
      </x:c>
      <x:c r="L31" s="31" t="str"/>
      <x:c r="M31" s="31" t="str">
        <x:v>记录配置值和模型可观察到的上下文差异。
执行证据：没有可用 LLM 服务。</x:v>
      </x:c>
    </x:row>
    <x:row r="32" ht="78" customHeight="1">
      <x:c r="A32" s="32" t="str">
        <x:v>TC-WKB-028</x:v>
      </x:c>
      <x:c r="B32" s="32" t="str">
        <x:v>TP-007 / FR-015</x:v>
      </x:c>
      <x:c r="C32" s="32" t="str">
        <x:v>引用字段与历史引用快照</x:v>
      </x:c>
      <x:c r="D32" s="37" t="str">
        <x:v>高</x:v>
      </x:c>
      <x:c r="E32" s="31" t="str">
        <x:v>准备包含文件名、数据集 ID 可识别的已索引资料。</x:v>
      </x:c>
      <x:c r="F32" s="31" t="str">
        <x:v>用例标题：引用字段与历史引用快照
前置条件：准备包含文件名、数据集 ID 可识别的已索引资料。
操作步骤：1. 提出可由该资料回答的问题。
2. 核对引用中的数据集、文件、类型、相似度和片段。
3. 重新打开历史消息核对引用。</x:v>
      </x:c>
      <x:c r="G32" s="31" t="str">
        <x:v>答案引用含计划要求的来源字段；历史消息保留对应引用快照；引用能追溯到稳定来源对象。</x:v>
      </x:c>
      <x:c r="H32" s="32" t="str">
        <x:v>没有可检索向量内容和 LLM 回答，无法验证引用字段及历史引用快照。</x:v>
      </x:c>
      <x:c r="I32" s="35" t="str">
        <x:v>阻塞</x:v>
      </x:c>
      <x:c r="J32" s="33" t="d">
        <x:v>2026-10-20T00:00:00.000Z</x:v>
      </x:c>
      <x:c r="K32" s="31" t="str">
        <x:v>自动化执行</x:v>
      </x:c>
      <x:c r="L32" s="31" t="str"/>
      <x:c r="M32" s="31" t="str">
        <x:v>保存消息 ID、引用对象 ID 和脱敏截图。
执行证据：embedding 与 LLM 前置条件未满足。</x:v>
      </x:c>
    </x:row>
    <x:row r="33" ht="78" customHeight="1">
      <x:c r="A33" s="32" t="str">
        <x:v>TC-WKB-029</x:v>
      </x:c>
      <x:c r="B33" s="32" t="str">
        <x:v>TP-008 / FR-016</x:v>
      </x:c>
      <x:c r="C33" s="32" t="str">
        <x:v>关键词与自然语言语义搜索</x:v>
      </x:c>
      <x:c r="D33" s="37" t="str">
        <x:v>中</x:v>
      </x:c>
      <x:c r="E33" s="31" t="str">
        <x:v>已有内容差异明确的 ready 数据集。</x:v>
      </x:c>
      <x:c r="F33" s="31" t="str">
        <x:v>用例标题：关键词与自然语言语义搜索
前置条件：已有内容差异明确的 ready 数据集。
操作步骤：1. 使用资料中的关键词搜索。
2. 使用同义自然语言查询。
3. 调整 TopK/相似度设置后比较结果。</x:v>
      </x:c>
      <x:c r="G33" s="31" t="str">
        <x:v>搜索可处理关键词或自然语言；结果相关且受检索设置影响；未索引内容不被错误返回。</x:v>
      </x:c>
      <x:c r="H33" s="32" t="str">
        <x:v>没有可用向量集合，无法比较关键词、语义查询和 TopK/阈值变化。</x:v>
      </x:c>
      <x:c r="I33" s="35" t="str">
        <x:v>阻塞</x:v>
      </x:c>
      <x:c r="J33" s="33" t="d">
        <x:v>2026-10-20T00:00:00.000Z</x:v>
      </x:c>
      <x:c r="K33" s="31" t="str">
        <x:v>自动化执行</x:v>
      </x:c>
      <x:c r="L33" s="31" t="str"/>
      <x:c r="M33" s="31" t="str">
        <x:v>记录查询文本、TopK、阈值和结果来源。
执行证据：embedding 前置条件未满足。</x:v>
      </x:c>
    </x:row>
    <x:row r="34" ht="78" customHeight="1">
      <x:c r="A34" s="32" t="str">
        <x:v>TC-WKB-030</x:v>
      </x:c>
      <x:c r="B34" s="32" t="str">
        <x:v>TP-008 / FR-016</x:v>
      </x:c>
      <x:c r="C34" s="32" t="str">
        <x:v>搜索结果来源与跳转</x:v>
      </x:c>
      <x:c r="D34" s="37" t="str">
        <x:v>中</x:v>
      </x:c>
      <x:c r="E34" s="31" t="str">
        <x:v>已有至少两个可区分来源的索引结果。</x:v>
      </x:c>
      <x:c r="F34" s="31" t="str">
        <x:v>用例标题：搜索结果来源与跳转
前置条件：已有至少两个可区分来源的索引结果。
操作步骤：1. 执行能命中两来源的搜索。
2. 检查结果的知识库、数据集和片段来源。
3. 点击结果跳转目标详情。</x:v>
      </x:c>
      <x:c r="G34" s="31" t="str">
        <x:v>每条结果包含来源信息；跳转目标与结果对象一致；目标不可用时给出明确反馈。</x:v>
      </x:c>
      <x:c r="H34" s="32" t="str">
        <x:v>没有索引搜索结果，无法核验来源卡片及实际页面跳转。</x:v>
      </x:c>
      <x:c r="I34" s="35" t="str">
        <x:v>阻塞</x:v>
      </x:c>
      <x:c r="J34" s="33" t="d">
        <x:v>2026-10-20T00:00:00.000Z</x:v>
      </x:c>
      <x:c r="K34" s="31" t="str">
        <x:v>自动化执行</x:v>
      </x:c>
      <x:c r="L34" s="31" t="str"/>
      <x:c r="M34" s="31" t="str">
        <x:v>记录来源 ID、跳转目标和页面结果。
执行证据：向量索引和浏览器操作未完成。</x:v>
      </x:c>
    </x:row>
    <x:row r="35" ht="78" customHeight="1">
      <x:c r="A35" s="32" t="str">
        <x:v>TC-WKB-031</x:v>
      </x:c>
      <x:c r="B35" s="32" t="str">
        <x:v>TP-008 / FR-016/NFR-001</x:v>
      </x:c>
      <x:c r="C35" s="32" t="str">
        <x:v>搜索历史、删除与无结果状态</x:v>
      </x:c>
      <x:c r="D35" s="37" t="str">
        <x:v>中</x:v>
      </x:c>
      <x:c r="E35" s="31" t="str">
        <x:v>准备一个有效查询和一个明确无匹配查询。</x:v>
      </x:c>
      <x:c r="F35" s="31" t="str">
        <x:v>用例标题：搜索历史、删除与无结果状态
前置条件：准备一个有效查询和一个明确无匹配查询。
操作步骤：1. 执行两种查询。
2. 查看搜索历史。
3. 删除一条历史。
4. 刷新后检查历史和无结果反馈。</x:v>
      </x:c>
      <x:c r="G35" s="31" t="str">
        <x:v>历史可保存和删除；无结果查询不会显示伪造内容或错误来源；页面提示明确。</x:v>
      </x:c>
      <x:c r="H35" s="32" t="str">
        <x:v>搜索请求写入历史后因向量模型缺失返回 HTTP 500；历史删除不能替代完整的搜索结果和无结果 UI 验证。</x:v>
      </x:c>
      <x:c r="I35" s="35" t="str">
        <x:v>阻塞</x:v>
      </x:c>
      <x:c r="J35" s="33" t="d">
        <x:v>2026-10-20T00:00:00.000Z</x:v>
      </x:c>
      <x:c r="K35" s="31" t="str">
        <x:v>自动化执行</x:v>
      </x:c>
      <x:c r="L35" s="31" t="str"/>
      <x:c r="M35" s="31" t="str">
        <x:v>记录历史 ID、结果条数和无结果页面截图。
执行证据：隔离搜索 API；模型异常响应和历史记录清理。</x:v>
      </x:c>
    </x:row>
    <x:row r="36" ht="78" customHeight="1">
      <x:c r="A36" s="32" t="str">
        <x:v>TC-WKB-032</x:v>
      </x:c>
      <x:c r="B36" s="32" t="str">
        <x:v>TP-008 / FR-016/FR-009</x:v>
      </x:c>
      <x:c r="C36" s="32" t="str">
        <x:v>未就绪或停用数据集搜索隔离</x:v>
      </x:c>
      <x:c r="D36" s="37" t="str">
        <x:v>中</x:v>
      </x:c>
      <x:c r="E36" s="31" t="str">
        <x:v>准备一个 ready 数据集、一个未索引数据集和一个停用数据集。</x:v>
      </x:c>
      <x:c r="F36" s="31" t="str">
        <x:v>用例标题：未就绪或停用数据集搜索隔离
前置条件：准备一个 ready 数据集、一个未索引数据集和一个停用数据集。
操作步骤：1. 让三个数据集包含不同唯一短句。
2. 分别搜索各短句。
3. 完成索引或重新启用后重复查询。</x:v>
      </x:c>
      <x:c r="G36" s="31" t="str">
        <x:v>只有满足索引和启用规则的数据集参与检索；状态改变后搜索范围按规则更新。</x:v>
      </x:c>
      <x:c r="H36" s="32" t="str">
        <x:v>没有可用向量索引，无法比较 ready、未索引、停用数据集的真实搜索命中范围。</x:v>
      </x:c>
      <x:c r="I36" s="35" t="str">
        <x:v>阻塞</x:v>
      </x:c>
      <x:c r="J36" s="33" t="d">
        <x:v>2026-10-20T00:00:00.000Z</x:v>
      </x:c>
      <x:c r="K36" s="31" t="str">
        <x:v>自动化执行</x:v>
      </x:c>
      <x:c r="L36" s="31" t="str"/>
      <x:c r="M36" s="31" t="str">
        <x:v>记录每个短句的命中情况和数据集状态。
执行证据：embedding 前置条件未满足。</x:v>
      </x:c>
    </x:row>
    <x:row r="37" ht="78" customHeight="1">
      <x:c r="A37" s="32" t="str">
        <x:v>TC-WKB-033</x:v>
      </x:c>
      <x:c r="B37" s="32" t="str">
        <x:v>TP-009 / FR-017</x:v>
      </x:c>
      <x:c r="C37" s="32" t="str">
        <x:v>文档集与文档基本维护</x:v>
      </x:c>
      <x:c r="D37" s="37" t="str">
        <x:v>中</x:v>
      </x:c>
      <x:c r="E37" s="31" t="str">
        <x:v>当前测试用户可创建文档集和文档。</x:v>
      </x:c>
      <x:c r="F37" s="31" t="str">
        <x:v>用例标题：文档集与文档基本维护
前置条件：当前测试用户可创建文档集和文档。
操作步骤：1. 创建文档集。
2. 新建文档并填写标题和正文。
3. 修改标题和正文后重新读取。</x:v>
      </x:c>
      <x:c r="G37" s="31" t="str">
        <x:v>文档集、文档可创建和编辑；修改结果持久化；列表和详情保持一致。</x:v>
      </x:c>
      <x:c r="H37" s="32" t="str">
        <x:v>文档集和文档 API 创建成功；文档标题和正文修改后可重新读取。</x:v>
      </x:c>
      <x:c r="I37" s="35" t="str">
        <x:v>通过</x:v>
      </x:c>
      <x:c r="J37" s="33" t="d">
        <x:v>2026-10-20T00:00:00.000Z</x:v>
      </x:c>
      <x:c r="K37" s="31" t="str">
        <x:v>自动化执行</x:v>
      </x:c>
      <x:c r="L37" s="31" t="str"/>
      <x:c r="M37" s="31" t="str">
        <x:v>记录文档集 ID 和文档 ID。
执行证据：隔离文档集/文档 API。</x:v>
      </x:c>
    </x:row>
    <x:row r="38" ht="78" customHeight="1">
      <x:c r="A38" s="32" t="str">
        <x:v>TC-WKB-034</x:v>
      </x:c>
      <x:c r="B38" s="32" t="str">
        <x:v>TP-009 / FR-017</x:v>
      </x:c>
      <x:c r="C38" s="32" t="str">
        <x:v>文档内容版本快照</x:v>
      </x:c>
      <x:c r="D38" s="37" t="str">
        <x:v>中</x:v>
      </x:c>
      <x:c r="E38" s="31" t="str">
        <x:v>已有一篇包含可识别正文的文档。</x:v>
      </x:c>
      <x:c r="F38" s="31" t="str">
        <x:v>用例标题：文档内容版本快照
前置条件：已有一篇包含可识别正文的文档。
操作步骤：1. 记录当前内容和版本号。
2. 修改正文并保存。
3. 查看版本列表和历史内容。</x:v>
      </x:c>
      <x:c r="G38" s="31" t="str">
        <x:v>内容修改生成可追溯版本快照；版本顺序明确；旧版本内容未被覆盖。</x:v>
      </x:c>
      <x:c r="H38" s="32" t="str">
        <x:v>修改正文后生成版本快照；直接核验隔离数据库中的版本行和正文。当前没有版本列表 API。</x:v>
      </x:c>
      <x:c r="I38" s="35" t="str">
        <x:v>通过</x:v>
      </x:c>
      <x:c r="J38" s="33" t="d">
        <x:v>2026-10-20T00:00:00.000Z</x:v>
      </x:c>
      <x:c r="K38" s="31" t="str">
        <x:v>自动化执行</x:v>
      </x:c>
      <x:c r="L38" s="31" t="str"/>
      <x:c r="M38" s="31" t="str">
        <x:v>记录文档 ID、版本号和修改前后内容摘要。
执行证据：隔离 SQLite 文档及版本行。</x:v>
      </x:c>
    </x:row>
    <x:row r="39" ht="78" customHeight="1">
      <x:c r="A39" s="32" t="str">
        <x:v>TC-WKB-035</x:v>
      </x:c>
      <x:c r="B39" s="32" t="str">
        <x:v>TP-009 / FR-017/FR-009</x:v>
      </x:c>
      <x:c r="C39" s="32" t="str">
        <x:v>文档转数据集与来源版本</x:v>
      </x:c>
      <x:c r="D39" s="37" t="str">
        <x:v>中</x:v>
      </x:c>
      <x:c r="E39" s="31" t="str">
        <x:v>已有可访问文档和可写知识库；准备一份可索引文档。</x:v>
      </x:c>
      <x:c r="F39" s="31" t="str">
        <x:v>用例标题：文档转数据集与来源版本
前置条件：已有可访问文档和可写知识库；准备一份可索引文档。
操作步骤：1. 将文档转为目标知识库数据集。
2. 检查来源文档和版本标识。
3. 启用并完成索引后执行搜索。</x:v>
      </x:c>
      <x:c r="G39" s="31" t="str">
        <x:v>转入前校验知识库存在性和权限；数据集关联正确文档版本；索引 ready 后可检索。</x:v>
      </x:c>
      <x:c r="H39" s="32" t="str">
        <x:v>文档已生成关联数据集和 docVerId；索引、ready 状态和搜索命中因 embedding 不可用未验证。</x:v>
      </x:c>
      <x:c r="I39" s="35" t="str">
        <x:v>阻塞</x:v>
      </x:c>
      <x:c r="J39" s="33" t="d">
        <x:v>2026-10-20T00:00:00.000Z</x:v>
      </x:c>
      <x:c r="K39" s="31" t="str">
        <x:v>自动化执行</x:v>
      </x:c>
      <x:c r="L39" s="31" t="str"/>
      <x:c r="M39" s="31" t="str">
        <x:v>记录文档、版本、数据集 ID 和检索来源。
执行证据：隔离文档转数据集 API；索引前置条件未满足。</x:v>
      </x:c>
    </x:row>
    <x:row r="40" ht="78" customHeight="1">
      <x:c r="A40" s="32" t="str">
        <x:v>TC-WKB-036</x:v>
      </x:c>
      <x:c r="B40" s="32" t="str">
        <x:v>TP-009 / FR-017/NFR-003</x:v>
      </x:c>
      <x:c r="C40" s="32" t="str">
        <x:v>文档及版本删除清理</x:v>
      </x:c>
      <x:c r="D40" s="37" t="str">
        <x:v>中</x:v>
      </x:c>
      <x:c r="E40" s="31" t="str">
        <x:v>准备包含多个版本和另一篇无关文档的文档集。</x:v>
      </x:c>
      <x:c r="F40" s="31" t="str">
        <x:v>用例标题：文档及版本删除清理
前置条件：准备包含多个版本和另一篇无关文档的文档集。
操作步骤：1. 删除一个文档并检查版本。
2. 删除一个文档集并检查其文档和版本。
3. 确认无关文档仍存在。</x:v>
      </x:c>
      <x:c r="G40" s="31" t="str">
        <x:v>删除文档/文档集时关联版本按规则清理；其他文档集和文档不受影响。</x:v>
      </x:c>
      <x:c r="H40" s="32" t="str">
        <x:v>删除文档集后其文档及版本均删除；另一个文档集中的无关文档保留。</x:v>
      </x:c>
      <x:c r="I40" s="35" t="str">
        <x:v>通过</x:v>
      </x:c>
      <x:c r="J40" s="33" t="d">
        <x:v>2026-10-20T00:00:00.000Z</x:v>
      </x:c>
      <x:c r="K40" s="31" t="str">
        <x:v>自动化执行</x:v>
      </x:c>
      <x:c r="L40" s="31" t="str"/>
      <x:c r="M40" s="31" t="str">
        <x:v>保存删除前后对象清单。
执行证据：隔离 SQLite 删除前后对象计数。</x:v>
      </x:c>
    </x:row>
    <x:row r="41" ht="78" customHeight="1">
      <x:c r="A41" s="32" t="str">
        <x:v>TC-WKB-037</x:v>
      </x:c>
      <x:c r="B41" s="32" t="str">
        <x:v>TP-010 / FR-009~FR-013/NFR-003</x:v>
      </x:c>
      <x:c r="C41" s="32" t="str">
        <x:v>数据集删除及派生对象清理</x:v>
      </x:c>
      <x:c r="D41" s="37" t="str">
        <x:v>高</x:v>
      </x:c>
      <x:c r="E41" s="31" t="str">
        <x:v>在可恢复测试知识库中准备数据集、分段、摘要、自动 Q&amp;A、三元组、错误记录和向量。</x:v>
      </x:c>
      <x:c r="F41" s="31" t="str">
        <x:v>用例标题：数据集删除及派生对象清理
前置条件：在可恢复测试知识库中准备数据集、分段、摘要、自动 Q&amp;A、三元组、错误记录和向量。
操作步骤：1. 记录对象和向量清单。
2. 删除数据集。
3. 查询关系数据、文件资源和向量集合。
4. 搜索原有唯一内容。</x:v>
      </x:c>
      <x:c r="G41" s="31" t="str">
        <x:v>数据集删除后其分段、摘要、自动 Q&amp;A、三元组、错误记录、文件和向量无残留；其他数据集不受影响。</x:v>
      </x:c>
      <x:c r="H41" s="32" t="str">
        <x:v>独立数据集删除已移除关系记录和上传文件；本次没有派生向量和增强对象，无法证明完整关联清理。</x:v>
      </x:c>
      <x:c r="I41" s="35" t="str">
        <x:v>阻塞</x:v>
      </x:c>
      <x:c r="J41" s="33" t="d">
        <x:v>2026-10-20T00:00:00.000Z</x:v>
      </x:c>
      <x:c r="K41" s="31" t="str">
        <x:v>自动化执行</x:v>
      </x:c>
      <x:c r="L41" s="31" t="str"/>
      <x:c r="M41" s="31" t="str">
        <x:v>仅使用备份可恢复数据；保存删除前后对象清单。
执行证据：隔离数据集删除 API；没有向量对象。</x:v>
      </x:c>
    </x:row>
    <x:row r="42" ht="78" customHeight="1">
      <x:c r="A42" s="32" t="str">
        <x:v>TC-WKB-038</x:v>
      </x:c>
      <x:c r="B42" s="32" t="str">
        <x:v>TP-010 / FR-004/FR-014~FR-016</x:v>
      </x:c>
      <x:c r="C42" s="32" t="str">
        <x:v>知识库删除及关联对象清理</x:v>
      </x:c>
      <x:c r="D42" s="37" t="str">
        <x:v>高</x:v>
      </x:c>
      <x:c r="E42" s="31" t="str">
        <x:v>在可恢复测试环境中准备包含数据集、聊天、引用、搜索历史和向量的知识库。</x:v>
      </x:c>
      <x:c r="F42" s="31" t="str">
        <x:v>用例标题：知识库删除及关联对象清理
前置条件：在可恢复测试环境中准备包含数据集、聊天、引用、搜索历史和向量的知识库。
操作步骤：1. 记录关联对象。
2. 删除知识库。
3. 检查数据集、聊天、搜索历史、引用和向量集合。
4. 检查另一知识库。</x:v>
      </x:c>
      <x:c r="G42" s="31" t="str">
        <x:v>被删知识库的关联对象按设计清理且无脏引用或向量；其他知识库数据保持完整。</x:v>
      </x:c>
      <x:c r="H42" s="32" t="str">
        <x:v>删除知识库后数据集、对话、消息和搜索历史记录均已清理，但已上传文件仍留在磁盘，见 DEF-WKB-004。</x:v>
      </x:c>
      <x:c r="I42" s="35" t="str">
        <x:v>失败</x:v>
      </x:c>
      <x:c r="J42" s="33" t="d">
        <x:v>2026-10-20T00:00:00.000Z</x:v>
      </x:c>
      <x:c r="K42" s="31" t="str">
        <x:v>自动化执行</x:v>
      </x:c>
      <x:c r="L42" s="31" t="str">
        <x:v>DEF-WKB-004</x:v>
      </x:c>
      <x:c r="M42" s="31" t="str">
        <x:v>仅在可恢复测试数据上执行，保存删除前后清单。
执行证据：隔离 SQLite 关联记录及本地文件删除前后检查。</x:v>
      </x:c>
    </x:row>
    <x:row r="43" ht="78" customHeight="1">
      <x:c r="A43" s="32" t="str">
        <x:v>TC-WKB-039</x:v>
      </x:c>
      <x:c r="B43" s="32" t="str">
        <x:v>TP-010 / FR-006/NFR-003</x:v>
      </x:c>
      <x:c r="C43" s="32" t="str">
        <x:v>删除目录后数据集归回未分类</x:v>
      </x:c>
      <x:c r="D43" s="37" t="str">
        <x:v>中</x:v>
      </x:c>
      <x:c r="E43" s="31" t="str">
        <x:v>同一知识库中准备一个目录及至少一个归属该目录的数据集。</x:v>
      </x:c>
      <x:c r="F43" s="31" t="str">
        <x:v>用例标题：删除目录后数据集归回未分类
前置条件：同一知识库中准备一个目录及至少一个归属该目录的数据集。
操作步骤：1. 删除目录。
2. 查询原数据集目录标识和列表位置。
3. 检查数据集本身和索引。</x:v>
      </x:c>
      <x:c r="G43" s="31" t="str">
        <x:v>目录删除不删除数据集；数据集目录标识清空并回到未分类；索引内容不受影响。</x:v>
      </x:c>
      <x:c r="H43" s="32" t="str">
        <x:v>删除目录后数据集仍存在，ctlgId 清空并回到未分类。</x:v>
      </x:c>
      <x:c r="I43" s="35" t="str">
        <x:v>通过</x:v>
      </x:c>
      <x:c r="J43" s="33" t="d">
        <x:v>2026-10-20T00:00:00.000Z</x:v>
      </x:c>
      <x:c r="K43" s="31" t="str">
        <x:v>自动化执行</x:v>
      </x:c>
      <x:c r="L43" s="31" t="str"/>
      <x:c r="M43" s="31" t="str">
        <x:v>记录目录 ID、数据集 ID 和目录字段前后值。
执行证据：隔离目录及数据集 API 回读。</x:v>
      </x:c>
    </x:row>
    <x:row r="44" ht="78" customHeight="1">
      <x:c r="A44" s="32" t="str">
        <x:v>TC-WKB-040</x:v>
      </x:c>
      <x:c r="B44" s="32" t="str">
        <x:v>TP-010 / FR-010/NFR-003</x:v>
      </x:c>
      <x:c r="C44" s="32" t="str">
        <x:v>分段编辑删除与向量同步</x:v>
      </x:c>
      <x:c r="D44" s="37" t="str">
        <x:v>高</x:v>
      </x:c>
      <x:c r="E44" s="31" t="str">
        <x:v>已有 ready 数据集和包含唯一词句的分段。</x:v>
      </x:c>
      <x:c r="F44" s="31" t="str">
        <x:v>用例标题：分段编辑删除与向量同步
前置条件：已有 ready 数据集和包含唯一词句的分段。
操作步骤：1. 编辑分段中的唯一词句并保存。
2. 搜索新旧词句。
3. 删除该分段并再次搜索。</x:v>
      </x:c>
      <x:c r="G44" s="31" t="str">
        <x:v>修改后对应向量更新；删除后向量移除；其他分段仍可检索。</x:v>
      </x:c>
      <x:c r="H44" s="32" t="str">
        <x:v>没有向量索引，无法验证分段修改和删除后的向量同步。</x:v>
      </x:c>
      <x:c r="I44" s="35" t="str">
        <x:v>阻塞</x:v>
      </x:c>
      <x:c r="J44" s="33" t="d">
        <x:v>2026-10-20T00:00:00.000Z</x:v>
      </x:c>
      <x:c r="K44" s="31" t="str">
        <x:v>自动化执行</x:v>
      </x:c>
      <x:c r="L44" s="31" t="str"/>
      <x:c r="M44" s="31" t="str">
        <x:v>记录分段 ID、新旧搜索结果和向量对象状态。
执行证据：embedding 前置条件未满足。</x:v>
      </x:c>
    </x:row>
    <x:row r="45" ht="78" customHeight="1">
      <x:c r="A45" s="32" t="str">
        <x:v>TC-WKB-041</x:v>
      </x:c>
      <x:c r="B45" s="32" t="str">
        <x:v>TP-011 / FR-004/NFR-004</x:v>
      </x:c>
      <x:c r="C45" s="32" t="str">
        <x:v>私有知识库列表隔离</x:v>
      </x:c>
      <x:c r="D45" s="37" t="str">
        <x:v>高</x:v>
      </x:c>
      <x:c r="E45" s="31" t="str">
        <x:v>测试环境可模拟两个不同用户；用户 A 创建私有知识库。</x:v>
      </x:c>
      <x:c r="F45" s="31" t="str">
        <x:v>用例标题：私有知识库列表隔离
前置条件：测试环境可模拟两个不同用户；用户 A 创建私有知识库。
操作步骤：1. 使用用户 A 查询知识库列表。
2. 使用用户 B 查询列表。
3. 尝试通过用户 B 的界面打开该知识库。</x:v>
      </x:c>
      <x:c r="G45" s="31" t="str">
        <x:v>私有知识库只对所属用户可见；列表和直接访问保持一致，不泄露名称或内容。</x:v>
      </x:c>
      <x:c r="H45" s="32" t="str">
        <x:v>不同 token 字符串仍可读取私有知识库；中间件将请求统一映射到 client_default_user，权限隔离失效，见 DEF-WKB-001。</x:v>
      </x:c>
      <x:c r="I45" s="35" t="str">
        <x:v>失败</x:v>
      </x:c>
      <x:c r="J45" s="33" t="d">
        <x:v>2026-10-20T00:00:00.000Z</x:v>
      </x:c>
      <x:c r="K45" s="31" t="str">
        <x:v>自动化执行</x:v>
      </x:c>
      <x:c r="L45" s="31" t="str">
        <x:v>DEF-WKB-001</x:v>
      </x:c>
      <x:c r="M45" s="31" t="str">
        <x:v>记录用户标识、列表结果和访问响应。
执行证据：两个合成 token 的隔离知识库列表/详情请求。</x:v>
      </x:c>
    </x:row>
    <x:row r="46" ht="78" customHeight="1">
      <x:c r="A46" s="32" t="str">
        <x:v>TC-WKB-042</x:v>
      </x:c>
      <x:c r="B46" s="32" t="str">
        <x:v>TP-011 / FR-004/NFR-004</x:v>
      </x:c>
      <x:c r="C46" s="32" t="str">
        <x:v>公开知识库可见范围</x:v>
      </x:c>
      <x:c r="D46" s="37" t="str">
        <x:v>中</x:v>
      </x:c>
      <x:c r="E46" s="31" t="str">
        <x:v>测试环境可模拟两个用户；准备公开和私有知识库。</x:v>
      </x:c>
      <x:c r="F46" s="31" t="str">
        <x:v>用例标题：公开知识库可见范围
前置条件：测试环境可模拟两个用户；准备公开和私有知识库。
操作步骤：1. 使用创建者和另一用户分别查询。
2. 检查公开对象可见性。
3. 检查公开对象写操作权限。</x:v>
      </x:c>
      <x:c r="G46" s="31" t="str">
        <x:v>公开知识库按设计对其他用户可见；读取与修改权限分别遵循规则；私有对象仍不可见。</x:v>
      </x:c>
      <x:c r="H46" s="32" t="str">
        <x:v>另一 token 可读取公开知识库且 optAuth 返回 alter，并可修改对象；未实现只读访问范围，见 DEF-WKB-001。</x:v>
      </x:c>
      <x:c r="I46" s="35" t="str">
        <x:v>失败</x:v>
      </x:c>
      <x:c r="J46" s="33" t="d">
        <x:v>2026-10-20T00:00:00.000Z</x:v>
      </x:c>
      <x:c r="K46" s="31" t="str">
        <x:v>自动化执行</x:v>
      </x:c>
      <x:c r="L46" s="31" t="str">
        <x:v>DEF-WKB-001</x:v>
      </x:c>
      <x:c r="M46" s="31" t="str">
        <x:v>记录可见对象 ID 和读写权限结果。
执行证据：公开知识库详情与编辑 API。</x:v>
      </x:c>
    </x:row>
    <x:row r="47" ht="78" customHeight="1">
      <x:c r="A47" s="32" t="str">
        <x:v>TC-WKB-043</x:v>
      </x:c>
      <x:c r="B47" s="32" t="str">
        <x:v>TP-011 / NFR-004</x:v>
      </x:c>
      <x:c r="C47" s="32" t="str">
        <x:v>越权写操作拒绝且不修改数据</x:v>
      </x:c>
      <x:c r="D47" s="37" t="str">
        <x:v>高</x:v>
      </x:c>
      <x:c r="E47" s="31" t="str">
        <x:v>准备另一用户拥有的知识库、数据集、文档和聊天对象。</x:v>
      </x:c>
      <x:c r="F47" s="31" t="str">
        <x:v>用例标题：越权写操作拒绝且不修改数据
前置条件：准备另一用户拥有的知识库、数据集、文档和聊天对象。
操作步骤：1. 以无权限用户提交编辑和删除请求。
2. 检查响应错误类型。
3. 重新以对象所有者查询数据。</x:v>
      </x:c>
      <x:c r="G47" s="31" t="str">
        <x:v>写操作返回明确业务错误；数据库和向量数据未被修改；错误响应不泄露敏感内容。</x:v>
      </x:c>
      <x:c r="H47" s="32" t="str">
        <x:v>使用另一 token 修改私有知识库名称成功，未被拒绝，见 DEF-WKB-001。</x:v>
      </x:c>
      <x:c r="I47" s="35" t="str">
        <x:v>失败</x:v>
      </x:c>
      <x:c r="J47" s="33" t="d">
        <x:v>2026-10-20T00:00:00.000Z</x:v>
      </x:c>
      <x:c r="K47" s="31" t="str">
        <x:v>自动化执行</x:v>
      </x:c>
      <x:c r="L47" s="31" t="str">
        <x:v>DEF-WKB-001</x:v>
      </x:c>
      <x:c r="M47" s="31" t="str">
        <x:v>记录请求对象 ID、错误码和所有者复查结果。
执行证据：两个合成 token 的隔离知识库编辑 API。</x:v>
      </x:c>
    </x:row>
    <x:row r="48" ht="78" customHeight="1">
      <x:c r="A48" s="32" t="str">
        <x:v>TC-WKB-044</x:v>
      </x:c>
      <x:c r="B48" s="32" t="str">
        <x:v>TP-011 / NFR-004</x:v>
      </x:c>
      <x:c r="C48" s="32" t="str">
        <x:v>无权限直接读取对象</x:v>
      </x:c>
      <x:c r="D48" s="37" t="str">
        <x:v>高</x:v>
      </x:c>
      <x:c r="E48" s="31" t="str">
        <x:v>测试环境可模拟两个用户；准备私有知识库、数据集、聊天和搜索历史。</x:v>
      </x:c>
      <x:c r="F48" s="31" t="str">
        <x:v>用例标题：无权限直接读取对象
前置条件：测试环境可模拟两个用户；准备私有知识库、数据集、聊天和搜索历史。
操作步骤：1. 以另一用户按对象 ID 请求详情。
2. 查询关联的消息、引用和历史。
3. 检查响应体和日志。</x:v>
      </x:c>
      <x:c r="G48" s="31" t="str">
        <x:v>未授权对象不可读取；关联消息、引用和搜索记录不泄露；失败原因可追踪。</x:v>
      </x:c>
      <x:c r="H48" s="32" t="str">
        <x:v>使用另一 token 可按对象 ID 直接读取私有知识库，未被拒绝，见 DEF-WKB-001。</x:v>
      </x:c>
      <x:c r="I48" s="35" t="str">
        <x:v>失败</x:v>
      </x:c>
      <x:c r="J48" s="33" t="d">
        <x:v>2026-10-20T00:00:00.000Z</x:v>
      </x:c>
      <x:c r="K48" s="31" t="str">
        <x:v>自动化执行</x:v>
      </x:c>
      <x:c r="L48" s="31" t="str">
        <x:v>DEF-WKB-001</x:v>
      </x:c>
      <x:c r="M48" s="31" t="str">
        <x:v>保存接口响应摘要，避免记录私有正文。
执行证据：两个合成 token 的隔离详情 API。</x:v>
      </x:c>
    </x:row>
    <x:row r="49" ht="78" customHeight="1">
      <x:c r="A49" s="32" t="str">
        <x:v>TC-WKB-045</x:v>
      </x:c>
      <x:c r="B49" s="32" t="str">
        <x:v>TP-012 / P0/TP-001~TP-010</x:v>
      </x:c>
      <x:c r="C49" s="32" t="str">
        <x:v>核心业务端到端回归</x:v>
      </x:c>
      <x:c r="D49" s="37" t="str">
        <x:v>高</x:v>
      </x:c>
      <x:c r="E49" s="31" t="str">
        <x:v>准备可恢复测试环境、默认模型、文档和网页样本。</x:v>
      </x:c>
      <x:c r="F49" s="31" t="str">
        <x:v>用例标题：核心业务端到端回归
前置条件：准备可恢复测试环境、默认模型、文档和网页样本。
操作步骤：1. 启动并创建知识库。
2. 导入、启用和索引资料。
3. 执行增强、问答、搜索和引用回溯。
4. 删除测试数据并核对清理。</x:v>
      </x:c>
      <x:c r="G49" s="31" t="str">
        <x:v>核心闭环各步骤完成；引用来源正确；删除后无残留；本轮变更未引入主链路回退。</x:v>
      </x:c>
      <x:c r="H49" s="32" t="str">
        <x:v>没有可用模型和向量索引，无法完成导入、索引、增强、问答、搜索、引用和删除的端到端闭环。</x:v>
      </x:c>
      <x:c r="I49" s="35" t="str">
        <x:v>阻塞</x:v>
      </x:c>
      <x:c r="J49" s="33" t="d">
        <x:v>2026-10-20T00:00:00.000Z</x:v>
      </x:c>
      <x:c r="K49" s="31" t="str">
        <x:v>自动化执行</x:v>
      </x:c>
      <x:c r="L49" s="31" t="str"/>
      <x:c r="M49" s="31" t="str">
        <x:v>记录版本、每步对象 ID 和失败/回归项。
执行证据：LLM 与 embedding 前置条件未满足。</x:v>
      </x:c>
    </x:row>
    <x:row r="50" ht="78" customHeight="1">
      <x:c r="A50" s="32" t="str">
        <x:v>TC-WKB-046</x:v>
      </x:c>
      <x:c r="B50" s="32" t="str">
        <x:v>TP-012 / NFR-003/NFR-005</x:v>
      </x:c>
      <x:c r="C50" s="32" t="str">
        <x:v>数据库与向量数据一致性</x:v>
      </x:c>
      <x:c r="D50" s="37" t="str">
        <x:v>高</x:v>
      </x:c>
      <x:c r="E50" s="31" t="str">
        <x:v>准备隔离测试库和可查询关系库/向量库的验证方式。</x:v>
      </x:c>
      <x:c r="F50" s="31" t="str">
        <x:v>用例标题：数据库与向量数据一致性
前置条件：准备隔离测试库和可查询关系库/向量库的验证方式。
操作步骤：1. 新增并索引一条测试内容。
2. 修改分段/增强对象。
3. 删除对象并检查两侧数据。</x:v>
      </x:c>
      <x:c r="G50" s="31" t="str">
        <x:v>关系数据与向量数据在操作完成后保持一致；异常可定位并可按维护流程重建。</x:v>
      </x:c>
      <x:c r="H50" s="32" t="str">
        <x:v>关系记录可局部核验；没有向量集合，无法证明关系库、文件与向量库全链路一致。</x:v>
      </x:c>
      <x:c r="I50" s="35" t="str">
        <x:v>阻塞</x:v>
      </x:c>
      <x:c r="J50" s="33" t="d">
        <x:v>2026-10-20T00:00:00.000Z</x:v>
      </x:c>
      <x:c r="K50" s="31" t="str">
        <x:v>自动化执行</x:v>
      </x:c>
      <x:c r="L50" s="31" t="str"/>
      <x:c r="M50" s="31" t="str">
        <x:v>保存对象 ID、查询结果和一致性检查记录。
执行证据：embedding 前置条件未满足。</x:v>
      </x:c>
    </x:row>
    <x:row r="51" ht="78" customHeight="1">
      <x:c r="A51" s="32" t="str">
        <x:v>TC-WKB-047</x:v>
      </x:c>
      <x:c r="B51" s="32" t="str">
        <x:v>TP-012 / NFR-007</x:v>
      </x:c>
      <x:c r="C51" s="32" t="str">
        <x:v>浏览器、桌面端与常见路径兼容</x:v>
      </x:c>
      <x:c r="D51" s="37" t="str">
        <x:v>中</x:v>
      </x:c>
      <x:c r="E51" s="31" t="str">
        <x:v>Windows 环境可分别启动浏览器端和 Tauri 桌面端；准备中文路径样本。</x:v>
      </x:c>
      <x:c r="F51" s="31" t="str">
        <x:v>用例标题：浏览器、桌面端与常见路径兼容
前置条件：Windows 环境可分别启动浏览器端和 Tauri 桌面端；准备中文路径样本。
操作步骤：1. 在浏览器和桌面端登录/进入工作区。
2. 执行知识库列表、导入和问答关键操作。
3. 检查窗口尺寸变化和中文路径文件。</x:v>
      </x:c>
      <x:c r="G51" s="31" t="str">
        <x:v>两种入口的主要功能可用；内容不被裁切；中文路径可访问；不出现明显横向溢出或未处理错误。</x:v>
      </x:c>
      <x:c r="H51" s="32" t="str">
        <x:v>HTTP/Vite 代理已验证；真实浏览器页面、Tauri 桌面端、窗口适配及截图留待人工检查。</x:v>
      </x:c>
      <x:c r="I51" s="35" t="str">
        <x:v>阻塞</x:v>
      </x:c>
      <x:c r="J51" s="33" t="d">
        <x:v>2026-10-20T00:00:00.000Z</x:v>
      </x:c>
      <x:c r="K51" s="31" t="str">
        <x:v>自动化执行</x:v>
      </x:c>
      <x:c r="L51" s="31" t="str"/>
      <x:c r="M51" s="31" t="str">
        <x:v>记录系统/浏览器版本、窗口尺寸和截图。
执行证据：运行证据 S01-S06 待人工完成。</x:v>
      </x:c>
    </x:row>
    <x:row r="52" ht="78" customHeight="1">
      <x:c r="A52" s="32" t="str">
        <x:v>TC-WKB-048</x:v>
      </x:c>
      <x:c r="B52" s="32" t="str">
        <x:v>TP-012 / NFR-003/NFR-005</x:v>
      </x:c>
      <x:c r="C52" s="32" t="str">
        <x:v>静态文档与测试基线一致性</x:v>
      </x:c>
      <x:c r="D52" s="37" t="str">
        <x:v>中</x:v>
      </x:c>
      <x:c r="E52" s="31" t="str">
        <x:v>测试计划、需求、设计、接口和操作手册均为当前审查版本。</x:v>
      </x:c>
      <x:c r="F52" s="31" t="str">
        <x:v>用例标题：静态文档与测试基线一致性
前置条件：测试计划、需求、设计、接口和操作手册均为当前审查版本。
操作步骤：1. 核对 FR/TP 编号和功能范围。
2. 核对状态术语、错误恢复、引用和删除规则。
3. 检查测试用例执行字段未预填通过结论。</x:v>
      </x:c>
      <x:c r="G52" s="31" t="str">
        <x:v>文档范围、术语和状态规则一致；工作簿覆盖测试计划 TP-001 至 TP-012；未执行用例不显示为通过。</x:v>
      </x:c>
      <x:c r="H52" s="32" t="str">
        <x:v>静态文档回归和工作簿覆盖检查通过；TP-001 至 TP-012 各 4 条，共 48 条。产品功能结论以本表逐条结果为准。</x:v>
      </x:c>
      <x:c r="I52" s="35" t="str">
        <x:v>通过</x:v>
      </x:c>
      <x:c r="J52" s="33" t="d">
        <x:v>2026-10-20T00:00:00.000Z</x:v>
      </x:c>
      <x:c r="K52" s="31" t="str">
        <x:v>自动化执行</x:v>
      </x:c>
      <x:c r="L52" s="31" t="str"/>
      <x:c r="M52" s="31" t="str">
        <x:v>记录发现的文档差异、责任文档和修订建议。
执行证据：Python 全量文档/成绩书测试及工作簿覆盖核验。</x:v>
      </x:c>
    </x:row>
  </x:sheetData>
  <x:mergeCells>
    <x:mergeCell ref="A1:M1"/>
    <x:mergeCell ref="A2:M2"/>
  </x:mergeCells>
  <x:conditionalFormatting sqref="I5:I52">
    <x:cfRule type="containsText" dxfId="0" priority="1" operator="containsText" text="未执行"/>
    <x:cfRule type="containsText" dxfId="1" priority="2" operator="containsText" text="通过"/>
    <x:cfRule type="containsText" dxfId="2" priority="3" operator="containsText" text="失败"/>
    <x:cfRule type="containsText" dxfId="3" priority="4" operator="containsText" text="阻塞"/>
  </x:conditionalFormatting>
  <x:dataValidations count="1">
    <x:dataValidation type="list" sqref="I5:I52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4e0a640934c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32" hidden="0" customWidth="1"/>
    <x:col min="4" max="4" width="18" hidden="0" customWidth="1"/>
    <x:col min="5" max="5" width="42" hidden="0" customWidth="1"/>
    <x:col min="6" max="6" width="11" hidden="0" customWidth="1"/>
    <x:col min="7" max="7" width="24" hidden="0" customWidth="1"/>
  </x:cols>
  <x:sheetData>
    <x:row r="1" ht="30" customHeight="1">
      <x:c r="A1" s="4" t="str">
        <x:v>页面与流程验收映射</x:v>
      </x:c>
      <x:c r="B1" s="2"/>
      <x:c r="C1" s="2"/>
      <x:c r="D1" s="2"/>
      <x:c r="E1" s="2"/>
      <x:c r="F1" s="2"/>
      <x:c r="G1" s="2"/>
    </x:row>
    <x:row r="2">
      <x:c r="A2" s="39" t="str">
        <x:v>本页把测试计划中的用户可见页面职责映射到测试用例，执行证据统一回填“测试项目”页。</x:v>
      </x:c>
      <x:c r="B2" s="39"/>
      <x:c r="C2" s="39"/>
      <x:c r="D2" s="39"/>
      <x:c r="E2" s="39"/>
      <x:c r="F2" s="39"/>
      <x:c r="G2" s="39"/>
    </x:row>
    <x:row r="3">
      <x:c r="A3" s="2"/>
      <x:c r="B3" s="2"/>
      <x:c r="C3" s="2"/>
      <x:c r="D3" s="2"/>
      <x:c r="E3" s="2"/>
      <x:c r="F3" s="2"/>
      <x:c r="G3" s="2"/>
    </x:row>
    <x:row r="4">
      <x:c r="A4" s="28" t="str">
        <x:v>编号</x:v>
      </x:c>
      <x:c r="B4" s="28" t="str">
        <x:v>页面/流程</x:v>
      </x:c>
      <x:c r="C4" s="28" t="str">
        <x:v>验证点</x:v>
      </x:c>
      <x:c r="D4" s="28" t="str">
        <x:v>关联用例</x:v>
      </x:c>
      <x:c r="E4" s="28" t="str">
        <x:v>预期验收结果</x:v>
      </x:c>
      <x:c r="F4" s="28" t="str">
        <x:v>执行状态</x:v>
      </x:c>
      <x:c r="G4" s="28" t="str">
        <x:v>证据/备注</x:v>
      </x:c>
    </x:row>
    <x:row r="5" ht="54" customHeight="1">
      <x:c r="A5" s="32" t="str">
        <x:v>UI-01</x:v>
      </x:c>
      <x:c r="B5" s="31" t="str">
        <x:v>启动与健康检查</x:v>
      </x:c>
      <x:c r="C5" s="31" t="str">
        <x:v>服务状态、数据库连接、入口可访问性</x:v>
      </x:c>
      <x:c r="D5" s="32" t="str">
        <x:v>TP-001</x:v>
      </x:c>
      <x:c r="E5" s="32" t="str">
        <x:v>启动和 /health 状态明确，模型、知识库、聊天入口可进入。</x:v>
      </x:c>
      <x:c r="F5" s="35" t="str">
        <x:v>未执行</x:v>
      </x:c>
      <x:c r="G5" s="31" t="str"/>
    </x:row>
    <x:row r="6" ht="54" customHeight="1">
      <x:c r="A6" s="32" t="str">
        <x:v>UI-02</x:v>
      </x:c>
      <x:c r="B6" s="31" t="str">
        <x:v>模型设置页</x:v>
      </x:c>
      <x:c r="C6" s="31" t="str">
        <x:v>供应商、模型、参数、默认 LLM</x:v>
      </x:c>
      <x:c r="D6" s="32" t="str">
        <x:v>TP-002</x:v>
      </x:c>
      <x:c r="E6" s="32" t="str">
        <x:v>参数保存成功，敏感字段脱敏，默认模型可选且可生效。</x:v>
      </x:c>
      <x:c r="F6" s="35" t="str">
        <x:v>未执行</x:v>
      </x:c>
      <x:c r="G6" s="31" t="str"/>
    </x:row>
    <x:row r="7" ht="54" customHeight="1">
      <x:c r="A7" s="32" t="str">
        <x:v>UI-03</x:v>
      </x:c>
      <x:c r="B7" s="31" t="str">
        <x:v>知识库首页</x:v>
      </x:c>
      <x:c r="C7" s="31" t="str">
        <x:v>列表、新建、编辑、删除、搜索、可见性</x:v>
      </x:c>
      <x:c r="D7" s="32" t="str">
        <x:v>TP-003/TP-011</x:v>
      </x:c>
      <x:c r="E7" s="32" t="str">
        <x:v>仅展示可见对象，创建与维护入口可用，权限错误有提示。</x:v>
      </x:c>
      <x:c r="F7" s="35" t="str">
        <x:v>未执行</x:v>
      </x:c>
      <x:c r="G7" s="31" t="str"/>
    </x:row>
    <x:row r="8" ht="54" customHeight="1">
      <x:c r="A8" s="32" t="str">
        <x:v>UI-04</x:v>
      </x:c>
      <x:c r="B8" s="31" t="str">
        <x:v>知识库详情页</x:v>
      </x:c>
      <x:c r="C8" s="31" t="str">
        <x:v>目录、数据集、分段、增强、状态与重建</x:v>
      </x:c>
      <x:c r="D8" s="32" t="str">
        <x:v>TP-004~TP-006/TP-010</x:v>
      </x:c>
      <x:c r="E8" s="32" t="str">
        <x:v>导入、状态流转、增强和删除清理结果可查看。</x:v>
      </x:c>
      <x:c r="F8" s="35" t="str">
        <x:v>未执行</x:v>
      </x:c>
      <x:c r="G8" s="31" t="str"/>
    </x:row>
    <x:row r="9" ht="54" customHeight="1">
      <x:c r="A9" s="32" t="str">
        <x:v>UI-05</x:v>
      </x:c>
      <x:c r="B9" s="31" t="str">
        <x:v>聊天页</x:v>
      </x:c>
      <x:c r="C9" s="31" t="str">
        <x:v>知识库选择、对话、流式回答、引用、重生成</x:v>
      </x:c>
      <x:c r="D9" s="32" t="str">
        <x:v>TP-007</x:v>
      </x:c>
      <x:c r="E9" s="32" t="str">
        <x:v>答案与引用同时展示，消息和引用可追溯，失败可恢复。</x:v>
      </x:c>
      <x:c r="F9" s="35" t="str">
        <x:v>未执行</x:v>
      </x:c>
      <x:c r="G9" s="31" t="str"/>
    </x:row>
    <x:row r="10" ht="54" customHeight="1">
      <x:c r="A10" s="32" t="str">
        <x:v>UI-06</x:v>
      </x:c>
      <x:c r="B10" s="31" t="str">
        <x:v>搜索页</x:v>
      </x:c>
      <x:c r="C10" s="31" t="str">
        <x:v>关键词/自然语言搜索、来源、历史与跳转</x:v>
      </x:c>
      <x:c r="D10" s="32" t="str">
        <x:v>TP-008</x:v>
      </x:c>
      <x:c r="E10" s="32" t="str">
        <x:v>结果含来源，可跳转，历史可保存和删除，无结果反馈清晰。</x:v>
      </x:c>
      <x:c r="F10" s="35" t="str">
        <x:v>未执行</x:v>
      </x:c>
      <x:c r="G10" s="31" t="str"/>
    </x:row>
    <x:row r="11" ht="54" customHeight="1">
      <x:c r="A11" s="32" t="str">
        <x:v>UI-07</x:v>
      </x:c>
      <x:c r="B11" s="31" t="str">
        <x:v>文档集与运维</x:v>
      </x:c>
      <x:c r="C11" s="31" t="str">
        <x:v>文档版本、转数据集、日志和回归入口</x:v>
      </x:c>
      <x:c r="D11" s="32" t="str">
        <x:v>TP-009/TP-012</x:v>
      </x:c>
      <x:c r="E11" s="32" t="str">
        <x:v>版本可追溯，转数据集链路可用，回归结论有记录。</x:v>
      </x:c>
      <x:c r="F11" s="35" t="str">
        <x:v>未执行</x:v>
      </x:c>
      <x:c r="G11" s="31" t="str"/>
    </x:row>
    <x:row r="12">
      <x:c r="A12" s="2"/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</x:sheetData>
  <x:mergeCells>
    <x:mergeCell ref="A1:G1"/>
    <x:mergeCell ref="A2:G2"/>
  </x:mergeCells>
  <x:dataValidations count="1">
    <x:dataValidation type="list" sqref="F5:F11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606707296a45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8" hidden="0" customWidth="1"/>
    <x:col min="2" max="2" width="56" hidden="0" customWidth="1"/>
    <x:col min="3" max="3" width="15" hidden="0" customWidth="1"/>
    <x:col min="4" max="4" width="38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</x:cols>
  <x:sheetData>
    <x:row r="1" ht="30" customHeight="1">
      <x:c r="A1" s="4" t="str">
        <x:v>测试执行汇总与缺陷记录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</x:row>
    <x:row r="3">
      <x:c r="A3" s="11" t="str">
        <x:v>测试对象</x:v>
      </x:c>
      <x:c r="B3" s="10" t="str">
        <x:v>第14小组 基于大模型的个人知识库系统</x:v>
      </x:c>
      <x:c r="C3" s="2"/>
      <x:c r="D3" s="2"/>
      <x:c r="E3" s="2"/>
      <x:c r="F3" s="2"/>
      <x:c r="G3" s="2"/>
      <x:c r="H3" s="2"/>
      <x:c r="I3" s="2"/>
    </x:row>
    <x:row r="4">
      <x:c r="A4" s="11" t="str">
        <x:v>测试基线</x:v>
      </x:c>
      <x:c r="B4" s="10" t="str">
        <x:v>docs/test_plan.md v0.1（2026-09-03）</x:v>
      </x:c>
      <x:c r="C4" s="2"/>
      <x:c r="D4" s="2"/>
      <x:c r="E4" s="2"/>
      <x:c r="F4" s="2"/>
      <x:c r="G4" s="2"/>
      <x:c r="H4" s="2"/>
      <x:c r="I4" s="2"/>
    </x:row>
    <x:row r="5">
      <x:c r="A5" s="11" t="str">
        <x:v>执行版本</x:v>
      </x:c>
      <x:c r="B5" s="10" t="str">
        <x:v>待填写</x:v>
      </x:c>
      <x:c r="C5" s="2"/>
      <x:c r="D5" s="2"/>
      <x:c r="E5" s="2"/>
      <x:c r="F5" s="2"/>
      <x:c r="G5" s="2"/>
      <x:c r="H5" s="2"/>
      <x:c r="I5" s="2"/>
    </x:row>
    <x:row r="6">
      <x:c r="A6" s="11" t="str">
        <x:v>执行环境</x:v>
      </x:c>
      <x:c r="B6" s="10" t="str">
        <x:v>Windows 本地；浏览器或 Tauri；关系型数据库；向量检索环境；可访问模型服务</x:v>
      </x:c>
      <x:c r="C6" s="2"/>
      <x:c r="D6" s="2"/>
      <x:c r="E6" s="2"/>
      <x:c r="F6" s="2"/>
      <x:c r="G6" s="2"/>
      <x:c r="H6" s="2"/>
      <x:c r="I6" s="2"/>
    </x:row>
    <x:row r="7" ht="38" customHeight="1">
      <x:c r="A7" s="11" t="str">
        <x:v>测试数据</x:v>
      </x:c>
      <x:c r="B7" s="10" t="str">
        <x:v>PDF、DOCX、MD、TXT、PPT；有效/无效 URL；单轮/多轮问题；无结果查询；异常模型配置</x:v>
      </x:c>
      <x:c r="C7" s="2"/>
      <x:c r="D7" s="2"/>
      <x:c r="E7" s="2"/>
      <x:c r="F7" s="2"/>
      <x:c r="G7" s="2"/>
      <x:c r="H7" s="2"/>
      <x:c r="I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>
      <x:c r="A9" s="28" t="str">
        <x:v>执行汇总</x:v>
      </x:c>
      <x:c r="B9" s="28" t="str">
        <x:v>数量</x:v>
      </x:c>
      <x:c r="C9" s="2"/>
      <x:c r="D9" s="2"/>
      <x:c r="E9" s="2"/>
      <x:c r="F9" s="2"/>
      <x:c r="G9" s="2"/>
      <x:c r="H9" s="2"/>
      <x:c r="I9" s="2"/>
    </x:row>
    <x:row r="10">
      <x:c r="A10" s="40" t="str">
        <x:v>用例总数</x:v>
      </x:c>
      <x:c r="B10" s="43" t="n">
        <x:f>COUNTA('测试项目'!A5:A52)</x:f>
        <x:v>48</x:v>
      </x:c>
      <x:c r="C10" s="2"/>
      <x:c r="D10" s="2"/>
      <x:c r="E10" s="2"/>
      <x:c r="F10" s="2"/>
      <x:c r="G10" s="2"/>
      <x:c r="H10" s="2"/>
      <x:c r="I10" s="2"/>
    </x:row>
    <x:row r="11">
      <x:c r="A11" s="40" t="str">
        <x:v>通过</x:v>
      </x:c>
      <x:c r="B11" s="43" t="n">
        <x:f>COUNTIFS('测试项目'!I5:I52,"通过")</x:f>
        <x:v>14</x:v>
      </x:c>
      <x:c r="C11" s="2"/>
      <x:c r="D11" s="2"/>
      <x:c r="E11" s="2"/>
      <x:c r="F11" s="2"/>
      <x:c r="G11" s="2"/>
      <x:c r="H11" s="2"/>
      <x:c r="I11" s="2"/>
    </x:row>
    <x:row r="12">
      <x:c r="A12" s="40" t="str">
        <x:v>失败</x:v>
      </x:c>
      <x:c r="B12" s="43" t="n">
        <x:f>COUNTIFS('测试项目'!I5:I52,"失败")</x:f>
        <x:v>8</x:v>
      </x:c>
      <x:c r="C12" s="2"/>
      <x:c r="D12" s="2"/>
      <x:c r="E12" s="2"/>
      <x:c r="F12" s="2"/>
      <x:c r="G12" s="2"/>
      <x:c r="H12" s="2"/>
      <x:c r="I12" s="2"/>
    </x:row>
    <x:row r="13">
      <x:c r="A13" s="40" t="str">
        <x:v>阻塞</x:v>
      </x:c>
      <x:c r="B13" s="43" t="n">
        <x:f>COUNTIFS('测试项目'!I5:I52,"阻塞")</x:f>
        <x:v>26</x:v>
      </x:c>
      <x:c r="C13" s="2"/>
      <x:c r="D13" s="2"/>
      <x:c r="E13" s="2"/>
      <x:c r="F13" s="2"/>
      <x:c r="G13" s="2"/>
      <x:c r="H13" s="2"/>
      <x:c r="I13" s="2"/>
    </x:row>
    <x:row r="14">
      <x:c r="A14" s="40" t="str">
        <x:v>未执行</x:v>
      </x:c>
      <x:c r="B14" s="43" t="n">
        <x:f>COUNTIFS('测试项目'!I5:I52,"未执行")</x:f>
        <x:v>0</x:v>
      </x:c>
      <x:c r="C14" s="2"/>
      <x:c r="D14" s="2"/>
      <x:c r="E14" s="2"/>
      <x:c r="F14" s="2"/>
      <x:c r="G14" s="2"/>
      <x:c r="H14" s="2"/>
      <x:c r="I14" s="2"/>
    </x:row>
    <x:row r="15">
      <x:c r="A15" s="40" t="str">
        <x:v>不适用</x:v>
      </x:c>
      <x:c r="B15" s="43" t="n">
        <x:f>COUNTIFS('测试项目'!I5:I52,"不适用")</x:f>
        <x:v>0</x:v>
      </x:c>
      <x:c r="C15" s="2"/>
      <x:c r="D15" s="2"/>
      <x:c r="E15" s="2"/>
      <x:c r="F15" s="2"/>
      <x:c r="G15" s="2"/>
      <x:c r="H15" s="2"/>
      <x:c r="I15" s="2"/>
    </x:row>
    <x:row r="16">
      <x:c r="A16" s="40" t="str">
        <x:v>已判定</x:v>
      </x:c>
      <x:c r="B16" s="43" t="n">
        <x:f>B11+B12</x:f>
        <x:v>22</x:v>
      </x:c>
      <x:c r="C16" s="2"/>
      <x:c r="D16" s="2"/>
      <x:c r="E16" s="2"/>
      <x:c r="F16" s="2"/>
      <x:c r="G16" s="2"/>
      <x:c r="H16" s="2"/>
      <x:c r="I16" s="2"/>
    </x:row>
    <x:row r="17">
      <x:c r="A17" s="40" t="str">
        <x:v>通过率</x:v>
      </x:c>
      <x:c r="B17" s="44" t="n">
        <x:f>IF(B16=0,"待执行",B11/B16)</x:f>
        <x:v>0.6363636363636364</x:v>
      </x:c>
      <x:c r="C17" s="2"/>
      <x:c r="D17" s="2"/>
      <x:c r="E17" s="2"/>
      <x:c r="F17" s="2"/>
      <x:c r="G17" s="2"/>
      <x:c r="H17" s="2"/>
      <x:c r="I17" s="2"/>
    </x:row>
    <x:row r="18">
      <x:c r="A18" s="40" t="str">
        <x:v>未填写结论</x:v>
      </x:c>
      <x:c r="B18" s="43" t="n">
        <x:f>COUNTBLANK('测试项目'!I5:I52)</x:f>
        <x:v>0</x:v>
      </x:c>
      <x:c r="C18" s="2"/>
      <x:c r="D18" s="2"/>
      <x:c r="E18" s="2"/>
      <x:c r="F18" s="2"/>
      <x:c r="G18" s="2"/>
      <x:c r="H18" s="2"/>
      <x:c r="I18" s="2"/>
    </x:row>
    <x:row r="19">
      <x:c r="A19" s="48" t="str">
        <x:v>交付判定</x:v>
      </x:c>
      <x:c r="B19" s="49" t="str">
        <x:f>IF(B12&gt;0,"不通过：存在失败用例",IF(B13&gt;0,"阻塞：需处理阻塞用例",IF(B18&gt;0,"未完成：存在未填结论",IF(B14&gt;0,"未完成：请先执行全部用例",IF(B15&gt;0,"未完成：存在不适用项待确认","通过")))))</x:f>
        <x:v>不通过：存在失败用例</x:v>
      </x:c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5" t="str">
        <x:v>执行要求</x:v>
      </x:c>
      <x:c r="B21" s="25"/>
      <x:c r="C21" s="25"/>
      <x:c r="D21" s="25"/>
      <x:c r="E21" s="25"/>
      <x:c r="F21" s="25"/>
      <x:c r="G21" s="25"/>
      <x:c r="H21" s="25"/>
      <x:c r="I21" s="2"/>
    </x:row>
    <x:row r="22" ht="26" customHeight="1">
      <x:c r="A22" s="52" t="str">
        <x:v>1</x:v>
      </x:c>
      <x:c r="B22" s="31" t="str">
        <x:v>每轮测试前填写执行版本、环境和数据基线。</x:v>
      </x:c>
      <x:c r="C22" s="31"/>
      <x:c r="D22" s="31"/>
      <x:c r="E22" s="31"/>
      <x:c r="F22" s="31"/>
      <x:c r="G22" s="31"/>
      <x:c r="H22" s="31"/>
      <x:c r="I22" s="2"/>
    </x:row>
    <x:row r="23" ht="26" customHeight="1">
      <x:c r="A23" s="52" t="str">
        <x:v>2</x:v>
      </x:c>
      <x:c r="B23" s="31" t="str">
        <x:v>每条用例执行后填写实测结果、确定结果、日期、测试者和证据。</x:v>
      </x:c>
      <x:c r="C23" s="31"/>
      <x:c r="D23" s="31"/>
      <x:c r="E23" s="31"/>
      <x:c r="F23" s="31"/>
      <x:c r="G23" s="31"/>
      <x:c r="H23" s="31"/>
      <x:c r="I23" s="2"/>
    </x:row>
    <x:row r="24" ht="26" customHeight="1">
      <x:c r="A24" s="52" t="str">
        <x:v>3</x:v>
      </x:c>
      <x:c r="B24" s="31" t="str">
        <x:v>失败或阻塞用例必须关联缺陷编号、日志或截图，并在回归后补充结论。</x:v>
      </x:c>
      <x:c r="C24" s="31"/>
      <x:c r="D24" s="31"/>
      <x:c r="E24" s="31"/>
      <x:c r="F24" s="31"/>
      <x:c r="G24" s="31"/>
      <x:c r="H24" s="31"/>
      <x:c r="I24" s="2"/>
    </x:row>
    <x:row r="25" ht="26" customHeight="1">
      <x:c r="A25" s="52" t="str">
        <x:v>4</x:v>
      </x:c>
      <x:c r="B25" s="31" t="str">
        <x:v>删除与重建测试只使用可恢复测试数据，执行前后保留对象清单。</x:v>
      </x:c>
      <x:c r="C25" s="31"/>
      <x:c r="D25" s="31"/>
      <x:c r="E25" s="31"/>
      <x:c r="F25" s="31"/>
      <x:c r="G25" s="31"/>
      <x:c r="H25" s="31"/>
      <x:c r="I25" s="2"/>
    </x:row>
    <x:row r="26" ht="26" customHeight="1">
      <x:c r="A26" s="52" t="str">
        <x:v>5</x:v>
      </x:c>
      <x:c r="B26" s="31" t="str">
        <x:v>交付门禁：核心用例全部通过，高优先级缺陷清零或获得明确延期批准。</x:v>
      </x:c>
      <x:c r="C26" s="31"/>
      <x:c r="D26" s="31"/>
      <x:c r="E26" s="31"/>
      <x:c r="F26" s="31"/>
      <x:c r="G26" s="31"/>
      <x:c r="H26" s="31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8" t="str">
        <x:v>缺陷编号</x:v>
      </x:c>
      <x:c r="B29" s="28" t="str">
        <x:v>关联用例</x:v>
      </x:c>
      <x:c r="C29" s="28" t="str">
        <x:v>严重级别</x:v>
      </x:c>
      <x:c r="D29" s="28" t="str">
        <x:v>问题描述</x:v>
      </x:c>
      <x:c r="E29" s="28" t="str">
        <x:v>处理结论</x:v>
      </x:c>
      <x:c r="F29" s="28" t="str">
        <x:v>责任人</x:v>
      </x:c>
      <x:c r="G29" s="28" t="str">
        <x:v>关闭日期</x:v>
      </x:c>
      <x:c r="H29" s="2"/>
      <x:c r="I29" s="2"/>
    </x:row>
    <x:row r="30" ht="54" customHeight="1">
      <x:c r="A30" s="31" t="str">
        <x:v>DEF-WKB-001</x:v>
      </x:c>
      <x:c r="B30" s="31" t="str">
        <x:v>TC-WKB-041~044</x:v>
      </x:c>
      <x:c r="C30" s="31" t="str">
        <x:v>高</x:v>
      </x:c>
      <x:c r="D30" s="31" t="str">
        <x:v>请求中间件把不同 token 映射为同一 client_default_user；私有知识库可被其他 token 读取和修改，公开库也返回 alter。</x:v>
      </x:c>
      <x:c r="E30" s="31" t="str">
        <x:v>待修复；阻断多用户权限验收。</x:v>
      </x:c>
      <x:c r="F30" s="31" t="str">
        <x:v>待分配</x:v>
      </x:c>
      <x:c r="G30" s="53" t="str"/>
      <x:c r="H30" s="2"/>
      <x:c r="I30" s="2"/>
    </x:row>
    <x:row r="31" ht="54" customHeight="1">
      <x:c r="A31" s="31" t="str">
        <x:v>DEF-WKB-002</x:v>
      </x:c>
      <x:c r="B31" s="31" t="str">
        <x:v>TC-WKB-010</x:v>
      </x:c>
      <x:c r="C31" s="31" t="str">
        <x:v>中</x:v>
      </x:c>
      <x:c r="D31" s="31" t="str">
        <x:v>知识库名称为空时，创建接口仍返回成功并保存空名称记录。</x:v>
      </x:c>
      <x:c r="E31" s="31" t="str">
        <x:v>待修复；增加名称校验并回归创建接口。</x:v>
      </x:c>
      <x:c r="F31" s="31" t="str">
        <x:v>待分配</x:v>
      </x:c>
      <x:c r="G31" s="53" t="str"/>
      <x:c r="H31" s="2"/>
      <x:c r="I31" s="2"/>
    </x:row>
    <x:row r="32" ht="54" customHeight="1">
      <x:c r="A32" s="31" t="str">
        <x:v>DEF-WKB-003</x:v>
      </x:c>
      <x:c r="B32" s="31" t="str">
        <x:v>TC-WKB-015</x:v>
      </x:c>
      <x:c r="C32" s="31" t="str">
        <x:v>中</x:v>
      </x:c>
      <x:c r="D32" s="31" t="str">
        <x:v>链接导入接口接受 not-a-valid-url 并保存为数据集，未校验 URL 格式。</x:v>
      </x:c>
      <x:c r="E32" s="31" t="str">
        <x:v>待修复；增加格式校验并覆盖无效输入。</x:v>
      </x:c>
      <x:c r="F32" s="31" t="str">
        <x:v>待分配</x:v>
      </x:c>
      <x:c r="G32" s="53" t="str"/>
      <x:c r="H32" s="2"/>
      <x:c r="I32" s="2"/>
    </x:row>
    <x:row r="33" ht="54" customHeight="1">
      <x:c r="A33" s="31" t="str">
        <x:v>DEF-WKB-004</x:v>
      </x:c>
      <x:c r="B33" s="31" t="str">
        <x:v>TC-WKB-038</x:v>
      </x:c>
      <x:c r="C33" s="31" t="str">
        <x:v>中</x:v>
      </x:c>
      <x:c r="D33" s="31" t="str">
        <x:v>删除知识库会清除数据库关联记录，但不会删除其本地上传文件。</x:v>
      </x:c>
      <x:c r="E33" s="31" t="str">
        <x:v>待修复；删除后核验本地文件及向量数据清理。</x:v>
      </x:c>
      <x:c r="F33" s="31" t="str">
        <x:v>待分配</x:v>
      </x:c>
      <x:c r="G33" s="53" t="str"/>
      <x:c r="H33" s="2"/>
      <x:c r="I33" s="2"/>
    </x:row>
    <x:row r="34" ht="54" customHeight="1">
      <x:c r="A34" s="31" t="str">
        <x:v>DEF-WKB-005</x:v>
      </x:c>
      <x:c r="B34" s="31" t="str">
        <x:v>TC-WKB-008</x:v>
      </x:c>
      <x:c r="C34" s="31" t="str">
        <x:v>中</x:v>
      </x:c>
      <x:c r="D34" s="31" t="str">
        <x:v>LLM 客户端初始化失败时 SSE 发出兜底文本，但助手兜底消息未写入对话历史。</x:v>
      </x:c>
      <x:c r="E34" s="31" t="str">
        <x:v>待修复；失败回退后持久化最终消息并补充回归。</x:v>
      </x:c>
      <x:c r="F34" s="31" t="str">
        <x:v>待分配</x:v>
      </x:c>
      <x:c r="G34" s="53" t="str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5" t="str">
        <x:v>项目实际运行情况（截图待补充）</x:v>
      </x:c>
      <x:c r="B36" s="25"/>
      <x:c r="C36" s="25"/>
      <x:c r="D36" s="25"/>
      <x:c r="E36" s="25"/>
      <x:c r="F36" s="25"/>
      <x:c r="G36" s="25"/>
      <x:c r="H36" s="25"/>
      <x:c r="I36" s="25"/>
    </x:row>
    <x:row r="37" ht="34" customHeight="1">
      <x:c r="A37" s="54" t="str">
        <x:v>隔离副本 API/Vite 冒烟与核心用例已自动执行。S01 至 S06 需补贴真实运行截图；截图待办不替代用例结果，也不改变交付判定。</x:v>
      </x:c>
      <x:c r="B37" s="54"/>
      <x:c r="C37" s="54"/>
      <x:c r="D37" s="54"/>
      <x:c r="E37" s="54"/>
      <x:c r="F37" s="54"/>
      <x:c r="G37" s="54"/>
      <x:c r="H37" s="54"/>
      <x:c r="I37" s="54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56" t="str">
        <x:v>运行环境记录</x:v>
      </x:c>
      <x:c r="B39" s="56"/>
      <x:c r="C39" s="56"/>
      <x:c r="D39" s="56"/>
      <x:c r="E39" s="56"/>
      <x:c r="F39" s="56"/>
      <x:c r="G39" s="56"/>
      <x:c r="H39" s="56"/>
      <x:c r="I39" s="56"/>
    </x:row>
    <x:row r="40" ht="28" customHeight="1">
      <x:c r="A40" s="59" t="str">
        <x:v>项目版本</x:v>
      </x:c>
      <x:c r="B40" s="41" t="str">
        <x:v>前端 0.1.9；后端基线 3951cd35be53</x:v>
      </x:c>
      <x:c r="C40" s="41" t="str"/>
      <x:c r="D40" s="41" t="str"/>
      <x:c r="E40" s="59" t="str">
        <x:v>Git 提交</x:v>
      </x:c>
      <x:c r="F40" s="41" t="str">
        <x:v>3951cd35be531084e7ebf2f40444d77bc6dff30c</x:v>
      </x:c>
      <x:c r="G40" s="41" t="str"/>
      <x:c r="H40" s="59" t="str">
        <x:v>执行人</x:v>
      </x:c>
      <x:c r="I40" s="41" t="str">
        <x:v>自动化执行</x:v>
      </x:c>
    </x:row>
    <x:row r="41" ht="28" customHeight="1">
      <x:c r="A41" s="59" t="str">
        <x:v>操作系统</x:v>
      </x:c>
      <x:c r="B41" s="41" t="str">
        <x:v>Windows 11 专业版</x:v>
      </x:c>
      <x:c r="C41" s="41" t="str"/>
      <x:c r="D41" s="41" t="str"/>
      <x:c r="E41" s="59" t="str">
        <x:v>浏览器</x:v>
      </x:c>
      <x:c r="F41" s="41" t="str">
        <x:v>HTTP/Vite 与页面导航已验；截图待贴</x:v>
      </x:c>
      <x:c r="G41" s="41" t="str"/>
      <x:c r="H41" s="59" t="str">
        <x:v>执行日期</x:v>
      </x:c>
      <x:c r="I41" s="60" t="d">
        <x:v>2026-10-20T00:00:00.000Z</x:v>
      </x:c>
    </x:row>
    <x:row r="42" ht="28" customHeight="1">
      <x:c r="A42" s="59" t="str">
        <x:v>后端入口</x:v>
      </x:c>
      <x:c r="B42" s="41" t="str">
        <x:v>http://127.0.0.1:16088/health</x:v>
      </x:c>
      <x:c r="C42" s="41" t="str"/>
      <x:c r="D42" s="41" t="str"/>
      <x:c r="E42" s="59" t="str">
        <x:v>前端入口</x:v>
      </x:c>
      <x:c r="F42" s="41" t="str">
        <x:v>http://127.0.0.1:11420</x:v>
      </x:c>
      <x:c r="G42" s="41" t="str"/>
      <x:c r="H42" s="59" t="str">
        <x:v>数据库</x:v>
      </x:c>
      <x:c r="I42" s="41" t="str">
        <x:v>隔离副本</x:v>
      </x:c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56" t="str">
        <x:v>运行证据清单</x:v>
      </x:c>
      <x:c r="B44" s="56"/>
      <x:c r="C44" s="56"/>
      <x:c r="D44" s="56"/>
      <x:c r="E44" s="56"/>
      <x:c r="F44" s="56"/>
      <x:c r="G44" s="56"/>
      <x:c r="H44" s="56"/>
      <x:c r="I44" s="56"/>
    </x:row>
    <x:row r="45">
      <x:c r="A45" s="28" t="str">
        <x:v>编号</x:v>
      </x:c>
      <x:c r="B45" s="28" t="str">
        <x:v>运行场景</x:v>
      </x:c>
      <x:c r="C45" s="28"/>
      <x:c r="D45" s="28" t="str">
        <x:v>核验要点</x:v>
      </x:c>
      <x:c r="E45" s="28"/>
      <x:c r="F45" s="28" t="str">
        <x:v>执行结果</x:v>
      </x:c>
      <x:c r="G45" s="28" t="str">
        <x:v>执行日期</x:v>
      </x:c>
      <x:c r="H45" s="28" t="str">
        <x:v>执行者</x:v>
      </x:c>
      <x:c r="I45" s="28" t="str">
        <x:v>截图编号/文件名</x:v>
      </x:c>
    </x:row>
    <x:row r="46" ht="48" customHeight="1">
      <x:c r="A46" s="32" t="str">
        <x:v>S01</x:v>
      </x:c>
      <x:c r="B46" s="31" t="str">
        <x:v>后端启动与健康检查</x:v>
      </x:c>
      <x:c r="C46" s="31"/>
      <x:c r="D46" s="31" t="str">
        <x:v>本地后端可启动；/health 返回成功且 data.status、data.database 均为 ok。</x:v>
      </x:c>
      <x:c r="E46" s="31"/>
      <x:c r="F46" s="35" t="str">
        <x:v>通过</x:v>
      </x:c>
      <x:c r="G46" s="53" t="d">
        <x:v>2026-10-20T00:00:00.000Z</x:v>
      </x:c>
      <x:c r="H46" s="31" t="str">
        <x:v>自动化执行</x:v>
      </x:c>
      <x:c r="I46" s="31" t="str">
        <x:v>待贴：S01-health.png</x:v>
      </x:c>
    </x:row>
    <x:row r="47" ht="48" customHeight="1">
      <x:c r="A47" s="32" t="str">
        <x:v>S02</x:v>
      </x:c>
      <x:c r="B47" s="31" t="str">
        <x:v>前端入口与导航</x:v>
      </x:c>
      <x:c r="C47" s="31"/>
      <x:c r="D47" s="31" t="str">
        <x:v>浏览器工作区可加载，知识库、搜索、聊天和文档集入口可见。</x:v>
      </x:c>
      <x:c r="E47" s="31"/>
      <x:c r="F47" s="35" t="str">
        <x:v>通过</x:v>
      </x:c>
      <x:c r="G47" s="53" t="d">
        <x:v>2026-10-20T00:00:00.000Z</x:v>
      </x:c>
      <x:c r="H47" s="31" t="str">
        <x:v>自动化执行</x:v>
      </x:c>
      <x:c r="I47" s="31" t="str">
        <x:v>待贴：S02-workspace.png</x:v>
      </x:c>
    </x:row>
    <x:row r="48" ht="48" customHeight="1">
      <x:c r="A48" s="32" t="str">
        <x:v>S03</x:v>
      </x:c>
      <x:c r="B48" s="31" t="str">
        <x:v>模型设置页</x:v>
      </x:c>
      <x:c r="C48" s="31"/>
      <x:c r="D48" s="31" t="str">
        <x:v>模型设置页可打开；截图不暴露密钥。未配置模型时如实记录。</x:v>
      </x:c>
      <x:c r="E48" s="31"/>
      <x:c r="F48" s="35" t="str">
        <x:v>通过</x:v>
      </x:c>
      <x:c r="G48" s="53" t="d">
        <x:v>2026-10-20T00:00:00.000Z</x:v>
      </x:c>
      <x:c r="H48" s="31" t="str">
        <x:v>自动化执行</x:v>
      </x:c>
      <x:c r="I48" s="31" t="str">
        <x:v>待贴：S03-model-settings.png</x:v>
      </x:c>
    </x:row>
    <x:row r="49" ht="48" customHeight="1">
      <x:c r="A49" s="32" t="str">
        <x:v>S04</x:v>
      </x:c>
      <x:c r="B49" s="31" t="str">
        <x:v>知识库列表与详情</x:v>
      </x:c>
      <x:c r="C49" s="31"/>
      <x:c r="D49" s="31" t="str">
        <x:v>知识库页面可用；如创建测试知识库，只在隔离副本中执行。</x:v>
      </x:c>
      <x:c r="E49" s="31"/>
      <x:c r="F49" s="35" t="str">
        <x:v>通过</x:v>
      </x:c>
      <x:c r="G49" s="53" t="d">
        <x:v>2026-10-20T00:00:00.000Z</x:v>
      </x:c>
      <x:c r="H49" s="31" t="str">
        <x:v>自动化执行</x:v>
      </x:c>
      <x:c r="I49" s="31" t="str">
        <x:v>待贴：S04-repository.png</x:v>
      </x:c>
    </x:row>
    <x:row r="50" ht="48" customHeight="1">
      <x:c r="A50" s="32" t="str">
        <x:v>S05</x:v>
      </x:c>
      <x:c r="B50" s="31" t="str">
        <x:v>测试资料导入与状态</x:v>
      </x:c>
      <x:c r="C50" s="31"/>
      <x:c r="D50" s="31" t="str">
        <x:v>样例文件上传后可查看数据集和真实索引状态，不将失败或未就绪写成成功。</x:v>
      </x:c>
      <x:c r="E50" s="31"/>
      <x:c r="F50" s="35" t="str">
        <x:v>通过</x:v>
      </x:c>
      <x:c r="G50" s="53" t="d">
        <x:v>2026-10-20T00:00:00.000Z</x:v>
      </x:c>
      <x:c r="H50" s="31" t="str">
        <x:v>自动化执行</x:v>
      </x:c>
      <x:c r="I50" s="31" t="str">
        <x:v>待贴：S05-dataset.png</x:v>
      </x:c>
    </x:row>
    <x:row r="51" ht="48" customHeight="1">
      <x:c r="A51" s="32" t="str">
        <x:v>S06</x:v>
      </x:c>
      <x:c r="B51" s="31" t="str">
        <x:v>搜索/问答与引用（模型可用时）</x:v>
      </x:c>
      <x:c r="C51" s="31"/>
      <x:c r="D51" s="31" t="str">
        <x:v>模型和索引可用时核对命中内容及来源；依赖缺失时记录阻塞原因。</x:v>
      </x:c>
      <x:c r="E51" s="31"/>
      <x:c r="F51" s="35" t="str">
        <x:v>阻塞</x:v>
      </x:c>
      <x:c r="G51" s="53" t="d">
        <x:v>2026-10-20T00:00:00.000Z</x:v>
      </x:c>
      <x:c r="H51" s="31" t="str">
        <x:v>自动化执行</x:v>
      </x:c>
      <x:c r="I51" s="31" t="str">
        <x:v>待贴：S06-search-chat.png</x:v>
      </x:c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5" t="str">
        <x:v>运行界面截图（完成对应步骤后粘贴；当前为空白证据位）</x:v>
      </x:c>
      <x:c r="B53" s="25"/>
      <x:c r="C53" s="25"/>
      <x:c r="D53" s="25"/>
      <x:c r="E53" s="25"/>
      <x:c r="F53" s="25"/>
      <x:c r="G53" s="25"/>
      <x:c r="H53" s="25"/>
      <x:c r="I53" s="25"/>
    </x:row>
    <x:row r="54">
      <x:c r="A54" s="63" t="str">
        <x:v>S01</x:v>
      </x:c>
      <x:c r="B54" s="63" t="str">
        <x:v>后端健康检查响应</x:v>
      </x:c>
      <x:c r="C54" s="63"/>
      <x:c r="D54" s="63"/>
      <x:c r="E54" s="63"/>
      <x:c r="F54" s="63"/>
      <x:c r="G54" s="63"/>
      <x:c r="H54" s="63"/>
      <x:c r="I54" s="63"/>
    </x:row>
    <x:row r="55" ht="22" customHeight="1">
      <x:c r="A55" s="74" t="str">
        <x:v>待粘贴 S01 实际截图</x:v>
      </x:c>
      <x:c r="B55" s="75"/>
      <x:c r="C55" s="75"/>
      <x:c r="D55" s="75"/>
      <x:c r="E55" s="75"/>
      <x:c r="F55" s="75"/>
      <x:c r="G55" s="75"/>
      <x:c r="H55" s="75"/>
      <x:c r="I55" s="76"/>
    </x:row>
    <x:row r="56" ht="22" customHeight="1">
      <x:c r="A56" s="77"/>
      <x:c r="B56" s="78"/>
      <x:c r="C56" s="78"/>
      <x:c r="D56" s="78"/>
      <x:c r="E56" s="78"/>
      <x:c r="F56" s="78"/>
      <x:c r="G56" s="78"/>
      <x:c r="H56" s="78"/>
      <x:c r="I56" s="79"/>
    </x:row>
    <x:row r="57" ht="22" customHeight="1">
      <x:c r="A57" s="77"/>
      <x:c r="B57" s="78"/>
      <x:c r="C57" s="78"/>
      <x:c r="D57" s="78"/>
      <x:c r="E57" s="78"/>
      <x:c r="F57" s="78"/>
      <x:c r="G57" s="78"/>
      <x:c r="H57" s="78"/>
      <x:c r="I57" s="79"/>
    </x:row>
    <x:row r="58" ht="22" customHeight="1">
      <x:c r="A58" s="77"/>
      <x:c r="B58" s="78"/>
      <x:c r="C58" s="78"/>
      <x:c r="D58" s="78"/>
      <x:c r="E58" s="78"/>
      <x:c r="F58" s="78"/>
      <x:c r="G58" s="78"/>
      <x:c r="H58" s="78"/>
      <x:c r="I58" s="79"/>
    </x:row>
    <x:row r="59" ht="22" customHeight="1">
      <x:c r="A59" s="77"/>
      <x:c r="B59" s="78"/>
      <x:c r="C59" s="78"/>
      <x:c r="D59" s="78"/>
      <x:c r="E59" s="78"/>
      <x:c r="F59" s="78"/>
      <x:c r="G59" s="78"/>
      <x:c r="H59" s="78"/>
      <x:c r="I59" s="79"/>
    </x:row>
    <x:row r="60" ht="22" customHeight="1">
      <x:c r="A60" s="77"/>
      <x:c r="B60" s="78"/>
      <x:c r="C60" s="78"/>
      <x:c r="D60" s="78"/>
      <x:c r="E60" s="78"/>
      <x:c r="F60" s="78"/>
      <x:c r="G60" s="78"/>
      <x:c r="H60" s="78"/>
      <x:c r="I60" s="79"/>
    </x:row>
    <x:row r="61" ht="22" customHeight="1">
      <x:c r="A61" s="80"/>
      <x:c r="B61" s="81"/>
      <x:c r="C61" s="81"/>
      <x:c r="D61" s="81"/>
      <x:c r="E61" s="81"/>
      <x:c r="F61" s="81"/>
      <x:c r="G61" s="81"/>
      <x:c r="H61" s="81"/>
      <x:c r="I61" s="8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63" t="str">
        <x:v>S02</x:v>
      </x:c>
      <x:c r="B63" s="63" t="str">
        <x:v>WenKB 浏览器工作区与主导航</x:v>
      </x:c>
      <x:c r="C63" s="63"/>
      <x:c r="D63" s="63"/>
      <x:c r="E63" s="63"/>
      <x:c r="F63" s="63"/>
      <x:c r="G63" s="63"/>
      <x:c r="H63" s="63"/>
      <x:c r="I63" s="63"/>
    </x:row>
    <x:row r="64" ht="22" customHeight="1">
      <x:c r="A64" s="74" t="str">
        <x:v>待粘贴 S02 实际截图</x:v>
      </x:c>
      <x:c r="B64" s="75"/>
      <x:c r="C64" s="75"/>
      <x:c r="D64" s="75"/>
      <x:c r="E64" s="75"/>
      <x:c r="F64" s="75"/>
      <x:c r="G64" s="75"/>
      <x:c r="H64" s="75"/>
      <x:c r="I64" s="76"/>
    </x:row>
    <x:row r="65" ht="22" customHeight="1">
      <x:c r="A65" s="77"/>
      <x:c r="B65" s="78"/>
      <x:c r="C65" s="78"/>
      <x:c r="D65" s="78"/>
      <x:c r="E65" s="78"/>
      <x:c r="F65" s="78"/>
      <x:c r="G65" s="78"/>
      <x:c r="H65" s="78"/>
      <x:c r="I65" s="79"/>
    </x:row>
    <x:row r="66" ht="22" customHeight="1">
      <x:c r="A66" s="77"/>
      <x:c r="B66" s="78"/>
      <x:c r="C66" s="78"/>
      <x:c r="D66" s="78"/>
      <x:c r="E66" s="78"/>
      <x:c r="F66" s="78"/>
      <x:c r="G66" s="78"/>
      <x:c r="H66" s="78"/>
      <x:c r="I66" s="79"/>
    </x:row>
    <x:row r="67" ht="22" customHeight="1">
      <x:c r="A67" s="77"/>
      <x:c r="B67" s="78"/>
      <x:c r="C67" s="78"/>
      <x:c r="D67" s="78"/>
      <x:c r="E67" s="78"/>
      <x:c r="F67" s="78"/>
      <x:c r="G67" s="78"/>
      <x:c r="H67" s="78"/>
      <x:c r="I67" s="79"/>
    </x:row>
    <x:row r="68" ht="22" customHeight="1">
      <x:c r="A68" s="77"/>
      <x:c r="B68" s="78"/>
      <x:c r="C68" s="78"/>
      <x:c r="D68" s="78"/>
      <x:c r="E68" s="78"/>
      <x:c r="F68" s="78"/>
      <x:c r="G68" s="78"/>
      <x:c r="H68" s="78"/>
      <x:c r="I68" s="79"/>
    </x:row>
    <x:row r="69" ht="22" customHeight="1">
      <x:c r="A69" s="77"/>
      <x:c r="B69" s="78"/>
      <x:c r="C69" s="78"/>
      <x:c r="D69" s="78"/>
      <x:c r="E69" s="78"/>
      <x:c r="F69" s="78"/>
      <x:c r="G69" s="78"/>
      <x:c r="H69" s="78"/>
      <x:c r="I69" s="79"/>
    </x:row>
    <x:row r="70" ht="22" customHeight="1">
      <x:c r="A70" s="80"/>
      <x:c r="B70" s="81"/>
      <x:c r="C70" s="81"/>
      <x:c r="D70" s="81"/>
      <x:c r="E70" s="81"/>
      <x:c r="F70" s="81"/>
      <x:c r="G70" s="81"/>
      <x:c r="H70" s="81"/>
      <x:c r="I70" s="8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63" t="str">
        <x:v>S03</x:v>
      </x:c>
      <x:c r="B72" s="63" t="str">
        <x:v>模型设置页面（凭据已脱敏或未配置）</x:v>
      </x:c>
      <x:c r="C72" s="63"/>
      <x:c r="D72" s="63"/>
      <x:c r="E72" s="63"/>
      <x:c r="F72" s="63"/>
      <x:c r="G72" s="63"/>
      <x:c r="H72" s="63"/>
      <x:c r="I72" s="63"/>
    </x:row>
    <x:row r="73" ht="22" customHeight="1">
      <x:c r="A73" s="74" t="str">
        <x:v>待粘贴 S03 实际截图</x:v>
      </x:c>
      <x:c r="B73" s="75"/>
      <x:c r="C73" s="75"/>
      <x:c r="D73" s="75"/>
      <x:c r="E73" s="75"/>
      <x:c r="F73" s="75"/>
      <x:c r="G73" s="75"/>
      <x:c r="H73" s="75"/>
      <x:c r="I73" s="76"/>
    </x:row>
    <x:row r="74" ht="22" customHeight="1">
      <x:c r="A74" s="77"/>
      <x:c r="B74" s="78"/>
      <x:c r="C74" s="78"/>
      <x:c r="D74" s="78"/>
      <x:c r="E74" s="78"/>
      <x:c r="F74" s="78"/>
      <x:c r="G74" s="78"/>
      <x:c r="H74" s="78"/>
      <x:c r="I74" s="79"/>
    </x:row>
    <x:row r="75" ht="22" customHeight="1">
      <x:c r="A75" s="77"/>
      <x:c r="B75" s="78"/>
      <x:c r="C75" s="78"/>
      <x:c r="D75" s="78"/>
      <x:c r="E75" s="78"/>
      <x:c r="F75" s="78"/>
      <x:c r="G75" s="78"/>
      <x:c r="H75" s="78"/>
      <x:c r="I75" s="79"/>
    </x:row>
    <x:row r="76" ht="22" customHeight="1">
      <x:c r="A76" s="77"/>
      <x:c r="B76" s="78"/>
      <x:c r="C76" s="78"/>
      <x:c r="D76" s="78"/>
      <x:c r="E76" s="78"/>
      <x:c r="F76" s="78"/>
      <x:c r="G76" s="78"/>
      <x:c r="H76" s="78"/>
      <x:c r="I76" s="79"/>
    </x:row>
    <x:row r="77" ht="22" customHeight="1">
      <x:c r="A77" s="77"/>
      <x:c r="B77" s="78"/>
      <x:c r="C77" s="78"/>
      <x:c r="D77" s="78"/>
      <x:c r="E77" s="78"/>
      <x:c r="F77" s="78"/>
      <x:c r="G77" s="78"/>
      <x:c r="H77" s="78"/>
      <x:c r="I77" s="79"/>
    </x:row>
    <x:row r="78" ht="22" customHeight="1">
      <x:c r="A78" s="77"/>
      <x:c r="B78" s="78"/>
      <x:c r="C78" s="78"/>
      <x:c r="D78" s="78"/>
      <x:c r="E78" s="78"/>
      <x:c r="F78" s="78"/>
      <x:c r="G78" s="78"/>
      <x:c r="H78" s="78"/>
      <x:c r="I78" s="79"/>
    </x:row>
    <x:row r="79" ht="22" customHeight="1">
      <x:c r="A79" s="80"/>
      <x:c r="B79" s="81"/>
      <x:c r="C79" s="81"/>
      <x:c r="D79" s="81"/>
      <x:c r="E79" s="81"/>
      <x:c r="F79" s="81"/>
      <x:c r="G79" s="81"/>
      <x:c r="H79" s="81"/>
      <x:c r="I79" s="8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  <x:row r="81">
      <x:c r="A81" s="63" t="str">
        <x:v>S04</x:v>
      </x:c>
      <x:c r="B81" s="63" t="str">
        <x:v>隔离测试知识库列表或详情</x:v>
      </x:c>
      <x:c r="C81" s="63"/>
      <x:c r="D81" s="63"/>
      <x:c r="E81" s="63"/>
      <x:c r="F81" s="63"/>
      <x:c r="G81" s="63"/>
      <x:c r="H81" s="63"/>
      <x:c r="I81" s="63"/>
    </x:row>
    <x:row r="82" ht="22" customHeight="1">
      <x:c r="A82" s="74" t="str">
        <x:v>待粘贴 S04 实际截图</x:v>
      </x:c>
      <x:c r="B82" s="75"/>
      <x:c r="C82" s="75"/>
      <x:c r="D82" s="75"/>
      <x:c r="E82" s="75"/>
      <x:c r="F82" s="75"/>
      <x:c r="G82" s="75"/>
      <x:c r="H82" s="75"/>
      <x:c r="I82" s="76"/>
    </x:row>
    <x:row r="83" ht="22" customHeight="1">
      <x:c r="A83" s="77"/>
      <x:c r="B83" s="78"/>
      <x:c r="C83" s="78"/>
      <x:c r="D83" s="78"/>
      <x:c r="E83" s="78"/>
      <x:c r="F83" s="78"/>
      <x:c r="G83" s="78"/>
      <x:c r="H83" s="78"/>
      <x:c r="I83" s="79"/>
    </x:row>
    <x:row r="84" ht="22" customHeight="1">
      <x:c r="A84" s="77"/>
      <x:c r="B84" s="78"/>
      <x:c r="C84" s="78"/>
      <x:c r="D84" s="78"/>
      <x:c r="E84" s="78"/>
      <x:c r="F84" s="78"/>
      <x:c r="G84" s="78"/>
      <x:c r="H84" s="78"/>
      <x:c r="I84" s="79"/>
    </x:row>
    <x:row r="85" ht="22" customHeight="1">
      <x:c r="A85" s="77"/>
      <x:c r="B85" s="78"/>
      <x:c r="C85" s="78"/>
      <x:c r="D85" s="78"/>
      <x:c r="E85" s="78"/>
      <x:c r="F85" s="78"/>
      <x:c r="G85" s="78"/>
      <x:c r="H85" s="78"/>
      <x:c r="I85" s="79"/>
    </x:row>
    <x:row r="86" ht="22" customHeight="1">
      <x:c r="A86" s="77"/>
      <x:c r="B86" s="78"/>
      <x:c r="C86" s="78"/>
      <x:c r="D86" s="78"/>
      <x:c r="E86" s="78"/>
      <x:c r="F86" s="78"/>
      <x:c r="G86" s="78"/>
      <x:c r="H86" s="78"/>
      <x:c r="I86" s="79"/>
    </x:row>
    <x:row r="87" ht="22" customHeight="1">
      <x:c r="A87" s="77"/>
      <x:c r="B87" s="78"/>
      <x:c r="C87" s="78"/>
      <x:c r="D87" s="78"/>
      <x:c r="E87" s="78"/>
      <x:c r="F87" s="78"/>
      <x:c r="G87" s="78"/>
      <x:c r="H87" s="78"/>
      <x:c r="I87" s="79"/>
    </x:row>
    <x:row r="88" ht="22" customHeight="1">
      <x:c r="A88" s="80"/>
      <x:c r="B88" s="81"/>
      <x:c r="C88" s="81"/>
      <x:c r="D88" s="81"/>
      <x:c r="E88" s="81"/>
      <x:c r="F88" s="81"/>
      <x:c r="G88" s="81"/>
      <x:c r="H88" s="81"/>
      <x:c r="I88" s="8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</x:row>
    <x:row r="90">
      <x:c r="A90" s="63" t="str">
        <x:v>S05</x:v>
      </x:c>
      <x:c r="B90" s="63" t="str">
        <x:v>测试资料导入结果与数据集状态</x:v>
      </x:c>
      <x:c r="C90" s="63"/>
      <x:c r="D90" s="63"/>
      <x:c r="E90" s="63"/>
      <x:c r="F90" s="63"/>
      <x:c r="G90" s="63"/>
      <x:c r="H90" s="63"/>
      <x:c r="I90" s="63"/>
    </x:row>
    <x:row r="91" ht="22" customHeight="1">
      <x:c r="A91" s="74" t="str">
        <x:v>待粘贴 S05 实际截图</x:v>
      </x:c>
      <x:c r="B91" s="75"/>
      <x:c r="C91" s="75"/>
      <x:c r="D91" s="75"/>
      <x:c r="E91" s="75"/>
      <x:c r="F91" s="75"/>
      <x:c r="G91" s="75"/>
      <x:c r="H91" s="75"/>
      <x:c r="I91" s="76"/>
    </x:row>
    <x:row r="92" ht="22" customHeight="1">
      <x:c r="A92" s="77"/>
      <x:c r="B92" s="78"/>
      <x:c r="C92" s="78"/>
      <x:c r="D92" s="78"/>
      <x:c r="E92" s="78"/>
      <x:c r="F92" s="78"/>
      <x:c r="G92" s="78"/>
      <x:c r="H92" s="78"/>
      <x:c r="I92" s="79"/>
    </x:row>
    <x:row r="93" ht="22" customHeight="1">
      <x:c r="A93" s="77"/>
      <x:c r="B93" s="78"/>
      <x:c r="C93" s="78"/>
      <x:c r="D93" s="78"/>
      <x:c r="E93" s="78"/>
      <x:c r="F93" s="78"/>
      <x:c r="G93" s="78"/>
      <x:c r="H93" s="78"/>
      <x:c r="I93" s="79"/>
    </x:row>
    <x:row r="94" ht="22" customHeight="1">
      <x:c r="A94" s="77"/>
      <x:c r="B94" s="78"/>
      <x:c r="C94" s="78"/>
      <x:c r="D94" s="78"/>
      <x:c r="E94" s="78"/>
      <x:c r="F94" s="78"/>
      <x:c r="G94" s="78"/>
      <x:c r="H94" s="78"/>
      <x:c r="I94" s="79"/>
    </x:row>
    <x:row r="95" ht="22" customHeight="1">
      <x:c r="A95" s="77"/>
      <x:c r="B95" s="78"/>
      <x:c r="C95" s="78"/>
      <x:c r="D95" s="78"/>
      <x:c r="E95" s="78"/>
      <x:c r="F95" s="78"/>
      <x:c r="G95" s="78"/>
      <x:c r="H95" s="78"/>
      <x:c r="I95" s="79"/>
    </x:row>
    <x:row r="96" ht="22" customHeight="1">
      <x:c r="A96" s="77"/>
      <x:c r="B96" s="78"/>
      <x:c r="C96" s="78"/>
      <x:c r="D96" s="78"/>
      <x:c r="E96" s="78"/>
      <x:c r="F96" s="78"/>
      <x:c r="G96" s="78"/>
      <x:c r="H96" s="78"/>
      <x:c r="I96" s="79"/>
    </x:row>
    <x:row r="97" ht="22" customHeight="1">
      <x:c r="A97" s="80"/>
      <x:c r="B97" s="81"/>
      <x:c r="C97" s="81"/>
      <x:c r="D97" s="81"/>
      <x:c r="E97" s="81"/>
      <x:c r="F97" s="81"/>
      <x:c r="G97" s="81"/>
      <x:c r="H97" s="81"/>
      <x:c r="I97" s="8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</x:row>
    <x:row r="99">
      <x:c r="A99" s="63" t="str">
        <x:v>S06</x:v>
      </x:c>
      <x:c r="B99" s="63" t="str">
        <x:v>搜索/问答结果及引用；模型不可用时改贴阻塞现象</x:v>
      </x:c>
      <x:c r="C99" s="63"/>
      <x:c r="D99" s="63"/>
      <x:c r="E99" s="63"/>
      <x:c r="F99" s="63"/>
      <x:c r="G99" s="63"/>
      <x:c r="H99" s="63"/>
      <x:c r="I99" s="63"/>
    </x:row>
    <x:row r="100" ht="22" customHeight="1">
      <x:c r="A100" s="74" t="str">
        <x:v>待粘贴 S06 实际截图</x:v>
      </x:c>
      <x:c r="B100" s="75"/>
      <x:c r="C100" s="75"/>
      <x:c r="D100" s="75"/>
      <x:c r="E100" s="75"/>
      <x:c r="F100" s="75"/>
      <x:c r="G100" s="75"/>
      <x:c r="H100" s="75"/>
      <x:c r="I100" s="76"/>
    </x:row>
    <x:row r="101" ht="22" customHeight="1">
      <x:c r="A101" s="77"/>
      <x:c r="B101" s="78"/>
      <x:c r="C101" s="78"/>
      <x:c r="D101" s="78"/>
      <x:c r="E101" s="78"/>
      <x:c r="F101" s="78"/>
      <x:c r="G101" s="78"/>
      <x:c r="H101" s="78"/>
      <x:c r="I101" s="79"/>
    </x:row>
    <x:row r="102" ht="22" customHeight="1">
      <x:c r="A102" s="77"/>
      <x:c r="B102" s="78"/>
      <x:c r="C102" s="78"/>
      <x:c r="D102" s="78"/>
      <x:c r="E102" s="78"/>
      <x:c r="F102" s="78"/>
      <x:c r="G102" s="78"/>
      <x:c r="H102" s="78"/>
      <x:c r="I102" s="79"/>
    </x:row>
    <x:row r="103" ht="22" customHeight="1">
      <x:c r="A103" s="77"/>
      <x:c r="B103" s="78"/>
      <x:c r="C103" s="78"/>
      <x:c r="D103" s="78"/>
      <x:c r="E103" s="78"/>
      <x:c r="F103" s="78"/>
      <x:c r="G103" s="78"/>
      <x:c r="H103" s="78"/>
      <x:c r="I103" s="79"/>
    </x:row>
    <x:row r="104" ht="22" customHeight="1">
      <x:c r="A104" s="77"/>
      <x:c r="B104" s="78"/>
      <x:c r="C104" s="78"/>
      <x:c r="D104" s="78"/>
      <x:c r="E104" s="78"/>
      <x:c r="F104" s="78"/>
      <x:c r="G104" s="78"/>
      <x:c r="H104" s="78"/>
      <x:c r="I104" s="79"/>
    </x:row>
    <x:row r="105" ht="22" customHeight="1">
      <x:c r="A105" s="77"/>
      <x:c r="B105" s="78"/>
      <x:c r="C105" s="78"/>
      <x:c r="D105" s="78"/>
      <x:c r="E105" s="78"/>
      <x:c r="F105" s="78"/>
      <x:c r="G105" s="78"/>
      <x:c r="H105" s="78"/>
      <x:c r="I105" s="79"/>
    </x:row>
    <x:row r="106" ht="22" customHeight="1">
      <x:c r="A106" s="80"/>
      <x:c r="B106" s="81"/>
      <x:c r="C106" s="81"/>
      <x:c r="D106" s="81"/>
      <x:c r="E106" s="81"/>
      <x:c r="F106" s="81"/>
      <x:c r="G106" s="81"/>
      <x:c r="H106" s="81"/>
      <x:c r="I106" s="82"/>
    </x:row>
  </x:sheetData>
  <x:mergeCells>
    <x:mergeCell ref="A1:I1"/>
    <x:mergeCell ref="A21:H21"/>
    <x:mergeCell ref="B22:H22"/>
    <x:mergeCell ref="B23:H23"/>
    <x:mergeCell ref="B24:H24"/>
    <x:mergeCell ref="B25:H25"/>
    <x:mergeCell ref="B26:H26"/>
    <x:mergeCell ref="A36:I36"/>
    <x:mergeCell ref="A37:I37"/>
    <x:mergeCell ref="A39:I39"/>
    <x:mergeCell ref="B40:D40"/>
    <x:mergeCell ref="F40:G40"/>
    <x:mergeCell ref="B41:D41"/>
    <x:mergeCell ref="F41:G41"/>
    <x:mergeCell ref="B42:D42"/>
    <x:mergeCell ref="F42:G42"/>
    <x:mergeCell ref="A44:I44"/>
    <x:mergeCell ref="B45:C45"/>
    <x:mergeCell ref="D45:E45"/>
    <x:mergeCell ref="B46:C46"/>
    <x:mergeCell ref="D46:E46"/>
    <x:mergeCell ref="B47:C47"/>
    <x:mergeCell ref="D47:E47"/>
    <x:mergeCell ref="B48:C48"/>
    <x:mergeCell ref="D48:E48"/>
    <x:mergeCell ref="B49:C49"/>
    <x:mergeCell ref="D49:E49"/>
    <x:mergeCell ref="B50:C50"/>
    <x:mergeCell ref="D50:E50"/>
    <x:mergeCell ref="B51:C51"/>
    <x:mergeCell ref="D51:E51"/>
    <x:mergeCell ref="A53:I53"/>
    <x:mergeCell ref="B54:I54"/>
    <x:mergeCell ref="B63:I63"/>
    <x:mergeCell ref="B72:I72"/>
    <x:mergeCell ref="B81:I81"/>
    <x:mergeCell ref="B90:I90"/>
    <x:mergeCell ref="B99:I99"/>
  </x:mergeCells>
  <x:conditionalFormatting sqref="B11:B11">
    <x:cfRule type="cellIs" dxfId="4" priority="1" operator="greaterThan">
      <x:formula>0</x:formula>
    </x:cfRule>
  </x:conditionalFormatting>
  <x:conditionalFormatting sqref="B12:B12">
    <x:cfRule type="cellIs" dxfId="5" priority="2" operator="greaterThan">
      <x:formula>0</x:formula>
    </x:cfRule>
  </x:conditionalFormatting>
  <x:conditionalFormatting sqref="B13:B13">
    <x:cfRule type="cellIs" dxfId="6" priority="3" operator="greaterThan">
      <x:formula>0</x:formula>
    </x:cfRule>
  </x:conditionalFormatting>
  <x:conditionalFormatting sqref="B14:B14">
    <x:cfRule type="cellIs" dxfId="7" priority="4" operator="greaterThan">
      <x:formula>0</x:formula>
    </x:cfRule>
  </x:conditionalFormatting>
  <x:conditionalFormatting sqref="B18:B18">
    <x:cfRule type="cellIs" dxfId="8" priority="5" operator="greaterThan">
      <x:formula>0</x:formula>
    </x:cfRule>
  </x:conditionalFormatting>
  <x:conditionalFormatting sqref="F46:F51">
    <x:cfRule type="containsText" dxfId="9" priority="6" operator="containsText" text="通过"/>
    <x:cfRule type="containsText" dxfId="10" priority="7" operator="containsText" text="失败"/>
    <x:cfRule type="containsText" dxfId="11" priority="8" operator="containsText" text="阻塞"/>
  </x:conditionalFormatting>
  <x:dataValidations count="2">
    <x:dataValidation type="list" sqref="C30:C34">
      <x:formula1>"高,中,低"</x:formula1>
    </x:dataValidation>
    <x:dataValidation type="list" sqref="F46:F51">
      <x:formula1>"待人工执行,通过,失败,阻塞,不适用"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61bff0f2e94137"/>
  </x:tableParts>
</x:worksheet>
</file>